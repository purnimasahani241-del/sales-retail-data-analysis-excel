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6.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7.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9.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0.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1.xml" ContentType="application/vnd.openxmlformats-officedocument.spreadsheetml.pivotTable+xml"/>
  <Override PartName="/xl/drawings/drawing7.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8.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C:\Users\DELL\Desktop\"/>
    </mc:Choice>
  </mc:AlternateContent>
  <xr:revisionPtr revIDLastSave="0" documentId="8_{F9BB1CA3-95E9-4E98-A4C6-428A72247A12}" xr6:coauthVersionLast="47" xr6:coauthVersionMax="47" xr10:uidLastSave="{00000000-0000-0000-0000-000000000000}"/>
  <bookViews>
    <workbookView xWindow="-110" yWindow="-110" windowWidth="19420" windowHeight="10300" firstSheet="8" activeTab="12" xr2:uid="{A15DA5CB-897C-4C69-B1CF-93519F0B460C}"/>
  </bookViews>
  <sheets>
    <sheet name="total sales" sheetId="2" r:id="rId1"/>
    <sheet name="profit" sheetId="3" r:id="rId2"/>
    <sheet name="total orders" sheetId="4" r:id="rId3"/>
    <sheet name="total quantity" sheetId="5" r:id="rId4"/>
    <sheet name="category" sheetId="6" r:id="rId5"/>
    <sheet name="region" sheetId="7" r:id="rId6"/>
    <sheet name="monthly sales" sheetId="8" r:id="rId7"/>
    <sheet name="segment" sheetId="9" r:id="rId8"/>
    <sheet name="category wise profit" sheetId="10" r:id="rId9"/>
    <sheet name="top 10 product" sheetId="11" r:id="rId10"/>
    <sheet name="payment mode" sheetId="12" r:id="rId11"/>
    <sheet name="dashboard" sheetId="13" r:id="rId12"/>
    <sheet name="Sheet1" sheetId="1" r:id="rId13"/>
  </sheets>
  <definedNames>
    <definedName name="_xlnm._FilterDatabase" localSheetId="12" hidden="1">Sheet1!$A$1:$O$201</definedName>
    <definedName name="Slicer_Category">#N/A</definedName>
    <definedName name="Slicer_Payment_Mode">#N/A</definedName>
    <definedName name="Slicer_Region">#N/A</definedName>
    <definedName name="Slicer_Segment">#N/A</definedName>
  </definedNames>
  <calcPr calcId="191029"/>
  <pivotCaches>
    <pivotCache cacheId="0" r:id="rId14"/>
  </pivotCaches>
  <extLst>
    <ext xmlns:x14="http://schemas.microsoft.com/office/spreadsheetml/2009/9/main" uri="{BBE1A952-AA13-448e-AADC-164F8A28A991}">
      <x14:slicerCaches>
        <x14:slicerCache r:id="rId15"/>
        <x14:slicerCache r:id="rId16"/>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Q2" i="1" l="1"/>
</calcChain>
</file>

<file path=xl/sharedStrings.xml><?xml version="1.0" encoding="utf-8"?>
<sst xmlns="http://schemas.openxmlformats.org/spreadsheetml/2006/main" count="2086" uniqueCount="640">
  <si>
    <t>Order ID</t>
  </si>
  <si>
    <t>Order Date</t>
  </si>
  <si>
    <t>Customer Name</t>
  </si>
  <si>
    <t>Category</t>
  </si>
  <si>
    <t>Sub-Category</t>
  </si>
  <si>
    <t>Product Name</t>
  </si>
  <si>
    <t>Region</t>
  </si>
  <si>
    <t>State</t>
  </si>
  <si>
    <t>City</t>
  </si>
  <si>
    <t>Segment</t>
  </si>
  <si>
    <t>Sales</t>
  </si>
  <si>
    <t>Quantity</t>
  </si>
  <si>
    <t>Discount</t>
  </si>
  <si>
    <t>Profit</t>
  </si>
  <si>
    <t>Payment Mode</t>
  </si>
  <si>
    <t>ORD001</t>
  </si>
  <si>
    <t>Aarav Sharma</t>
  </si>
  <si>
    <t>Grocery</t>
  </si>
  <si>
    <t>Staples</t>
  </si>
  <si>
    <t>Rice</t>
  </si>
  <si>
    <t>North</t>
  </si>
  <si>
    <t>Delhi</t>
  </si>
  <si>
    <t>New Delhi</t>
  </si>
  <si>
    <t>Consumer</t>
  </si>
  <si>
    <t>UPI</t>
  </si>
  <si>
    <t>ORD002</t>
  </si>
  <si>
    <t>Priya Verma</t>
  </si>
  <si>
    <t>Beverages</t>
  </si>
  <si>
    <t>Soft Drinks</t>
  </si>
  <si>
    <t>Cola</t>
  </si>
  <si>
    <t>West</t>
  </si>
  <si>
    <t>Maharashtra</t>
  </si>
  <si>
    <t>Mumbai</t>
  </si>
  <si>
    <t>Corporate</t>
  </si>
  <si>
    <t>Card</t>
  </si>
  <si>
    <t>ORD003</t>
  </si>
  <si>
    <t>Rahul Patel</t>
  </si>
  <si>
    <t>Snacks</t>
  </si>
  <si>
    <t>Chips</t>
  </si>
  <si>
    <t>Potato Chips</t>
  </si>
  <si>
    <t>Gujarat</t>
  </si>
  <si>
    <t>Ahmedabad</t>
  </si>
  <si>
    <t>Cash</t>
  </si>
  <si>
    <t>ORD004</t>
  </si>
  <si>
    <t>Neha Singh</t>
  </si>
  <si>
    <t>Household</t>
  </si>
  <si>
    <t>Cleaning</t>
  </si>
  <si>
    <t>Floor Cleaner</t>
  </si>
  <si>
    <t>Uttar Pradesh</t>
  </si>
  <si>
    <t>Lucknow</t>
  </si>
  <si>
    <t>Home Office</t>
  </si>
  <si>
    <t>ORD005</t>
  </si>
  <si>
    <t>Ankit Jain</t>
  </si>
  <si>
    <t>Pulses</t>
  </si>
  <si>
    <t>Toor Dal</t>
  </si>
  <si>
    <t>Central</t>
  </si>
  <si>
    <t>Madhya Pradesh</t>
  </si>
  <si>
    <t>Indore</t>
  </si>
  <si>
    <t>ORD006</t>
  </si>
  <si>
    <t>Sneha Gupta</t>
  </si>
  <si>
    <t>Juice</t>
  </si>
  <si>
    <t>Mango Juice</t>
  </si>
  <si>
    <t>Haryana</t>
  </si>
  <si>
    <t>Gurugram</t>
  </si>
  <si>
    <t>ORD007</t>
  </si>
  <si>
    <t>Rohit Mehta</t>
  </si>
  <si>
    <t>Personal Care</t>
  </si>
  <si>
    <t>Soap</t>
  </si>
  <si>
    <t>Bathing Soap</t>
  </si>
  <si>
    <t>Rajasthan</t>
  </si>
  <si>
    <t>Jaipur</t>
  </si>
  <si>
    <t>ORD008</t>
  </si>
  <si>
    <t>Kavya Shah</t>
  </si>
  <si>
    <t>Wheat Flour</t>
  </si>
  <si>
    <t>Surat</t>
  </si>
  <si>
    <t>ORD009</t>
  </si>
  <si>
    <t>Vikas Yadav</t>
  </si>
  <si>
    <t>Biscuits</t>
  </si>
  <si>
    <t>Marie Biscuits</t>
  </si>
  <si>
    <t>Bhopal</t>
  </si>
  <si>
    <t>ORD010</t>
  </si>
  <si>
    <t>Pooja Mishra</t>
  </si>
  <si>
    <t>Kitchen</t>
  </si>
  <si>
    <t>Dishwash Liquid</t>
  </si>
  <si>
    <t>ORD011</t>
  </si>
  <si>
    <t>Arjun Rao</t>
  </si>
  <si>
    <t>Tea</t>
  </si>
  <si>
    <t>Tea Pack</t>
  </si>
  <si>
    <t>South</t>
  </si>
  <si>
    <t>Karnataka</t>
  </si>
  <si>
    <t>Bengaluru</t>
  </si>
  <si>
    <t>ORD012</t>
  </si>
  <si>
    <t>Riya Kapoor</t>
  </si>
  <si>
    <t>Sugar</t>
  </si>
  <si>
    <t>Punjab</t>
  </si>
  <si>
    <t>Ludhiana</t>
  </si>
  <si>
    <t>ORD013</t>
  </si>
  <si>
    <t>Manish Kumar</t>
  </si>
  <si>
    <t>Shampoo</t>
  </si>
  <si>
    <t>Hair Shampoo</t>
  </si>
  <si>
    <t>ORD014</t>
  </si>
  <si>
    <t>Simran Kaur</t>
  </si>
  <si>
    <t>Namkeen</t>
  </si>
  <si>
    <t>Mixture</t>
  </si>
  <si>
    <t>Amritsar</t>
  </si>
  <si>
    <t>ORD015</t>
  </si>
  <si>
    <t>Deepak Soni</t>
  </si>
  <si>
    <t>Laundry Detergent</t>
  </si>
  <si>
    <t>Pune</t>
  </si>
  <si>
    <t>ORD016</t>
  </si>
  <si>
    <t>Isha Malhotra</t>
  </si>
  <si>
    <t>Coffee</t>
  </si>
  <si>
    <t>Coffee Powder</t>
  </si>
  <si>
    <t>ORD017</t>
  </si>
  <si>
    <t>Varun Agarwal</t>
  </si>
  <si>
    <t>Moong Dal</t>
  </si>
  <si>
    <t>Kanpur</t>
  </si>
  <si>
    <t>ORD018</t>
  </si>
  <si>
    <t>Nidhi Joshi</t>
  </si>
  <si>
    <t>Skincare</t>
  </si>
  <si>
    <t>Face Wash</t>
  </si>
  <si>
    <t>ORD019</t>
  </si>
  <si>
    <t>Sachin Tiwari</t>
  </si>
  <si>
    <t>Chocolates</t>
  </si>
  <si>
    <t>Dark Chocolate</t>
  </si>
  <si>
    <t>ORD020</t>
  </si>
  <si>
    <t>Anjali Deshmukh</t>
  </si>
  <si>
    <t>Aluminium Foil</t>
  </si>
  <si>
    <t>Nagpur</t>
  </si>
  <si>
    <t>ORD021</t>
  </si>
  <si>
    <t>Karan Bansal</t>
  </si>
  <si>
    <t>Basmati Rice</t>
  </si>
  <si>
    <t>Faridabad</t>
  </si>
  <si>
    <t>ORD022</t>
  </si>
  <si>
    <t>Megha Gupta</t>
  </si>
  <si>
    <t>Orange Soda</t>
  </si>
  <si>
    <t>ORD023</t>
  </si>
  <si>
    <t>Aditya Singh</t>
  </si>
  <si>
    <t>Banana Chips</t>
  </si>
  <si>
    <t>Vadodara</t>
  </si>
  <si>
    <t>ORD024</t>
  </si>
  <si>
    <t>Tanvi Sharma</t>
  </si>
  <si>
    <t>Glass Cleaner</t>
  </si>
  <si>
    <t>ORD025</t>
  </si>
  <si>
    <t>Mohit Jain</t>
  </si>
  <si>
    <t>Chana Dal</t>
  </si>
  <si>
    <t>ORD026</t>
  </si>
  <si>
    <t>Radhika Sen</t>
  </si>
  <si>
    <t>Apple Juice</t>
  </si>
  <si>
    <t>ORD027</t>
  </si>
  <si>
    <t>Yash Patel</t>
  </si>
  <si>
    <t>Hand Wash</t>
  </si>
  <si>
    <t>ORD028</t>
  </si>
  <si>
    <t>Aditi Verma</t>
  </si>
  <si>
    <t>Maida</t>
  </si>
  <si>
    <t>ORD029</t>
  </si>
  <si>
    <t>Sumit Sharma</t>
  </si>
  <si>
    <t>Cream Biscuits</t>
  </si>
  <si>
    <t>ORD030</t>
  </si>
  <si>
    <t>Shreya Kapoor</t>
  </si>
  <si>
    <t>Kitchen Towels</t>
  </si>
  <si>
    <t>ORD031</t>
  </si>
  <si>
    <t>Akash Gupta</t>
  </si>
  <si>
    <t>Green Tea</t>
  </si>
  <si>
    <t>ORD032</t>
  </si>
  <si>
    <t>Divya Mehta</t>
  </si>
  <si>
    <t>Sooji</t>
  </si>
  <si>
    <t>ORD033</t>
  </si>
  <si>
    <t>Naveen Kumar</t>
  </si>
  <si>
    <t>Conditioner</t>
  </si>
  <si>
    <t>ORD034</t>
  </si>
  <si>
    <t>Komal Yadav</t>
  </si>
  <si>
    <t>Bhujia</t>
  </si>
  <si>
    <t>ORD035</t>
  </si>
  <si>
    <t>Rajesh Shah</t>
  </si>
  <si>
    <t>Fabric Softener</t>
  </si>
  <si>
    <t>ORD036</t>
  </si>
  <si>
    <t>Payal Jain</t>
  </si>
  <si>
    <t>Instant Coffee</t>
  </si>
  <si>
    <t>ORD037</t>
  </si>
  <si>
    <t>Abhishek Rao</t>
  </si>
  <si>
    <t>Masoor Dal</t>
  </si>
  <si>
    <t>ORD038</t>
  </si>
  <si>
    <t>Muskan Gupta</t>
  </si>
  <si>
    <t>Body Lotion</t>
  </si>
  <si>
    <t>ORD039</t>
  </si>
  <si>
    <t>Varun Soni</t>
  </si>
  <si>
    <t>Milk Chocolate</t>
  </si>
  <si>
    <t>ORD040</t>
  </si>
  <si>
    <t>Neelam Joshi</t>
  </si>
  <si>
    <t>Storage Box</t>
  </si>
  <si>
    <t>ORD041</t>
  </si>
  <si>
    <t>Rakesh Bansal</t>
  </si>
  <si>
    <t>Organic Rice</t>
  </si>
  <si>
    <t>ORD042</t>
  </si>
  <si>
    <t>Sonal Singh</t>
  </si>
  <si>
    <t>Lemon Soda</t>
  </si>
  <si>
    <t>ORD043</t>
  </si>
  <si>
    <t>Harsh Patel</t>
  </si>
  <si>
    <t>Nachos</t>
  </si>
  <si>
    <t>ORD044</t>
  </si>
  <si>
    <t>Preeti Mishra</t>
  </si>
  <si>
    <t>Toilet Cleaner</t>
  </si>
  <si>
    <t>ORD045</t>
  </si>
  <si>
    <t>Gaurav Jain</t>
  </si>
  <si>
    <t>Urad Dal</t>
  </si>
  <si>
    <t>ORD046</t>
  </si>
  <si>
    <t>Swati Kapoor</t>
  </si>
  <si>
    <t>Grape Juice</t>
  </si>
  <si>
    <t>ORD047</t>
  </si>
  <si>
    <t>Manav Sharma</t>
  </si>
  <si>
    <t>Liquid Soap</t>
  </si>
  <si>
    <t>ORD048</t>
  </si>
  <si>
    <t>Reema Verma</t>
  </si>
  <si>
    <t>Corn Flour</t>
  </si>
  <si>
    <t>ORD049</t>
  </si>
  <si>
    <t>Saurabh Singh</t>
  </si>
  <si>
    <t>Butter Biscuits</t>
  </si>
  <si>
    <t>ORD050</t>
  </si>
  <si>
    <t>Shivani Patel</t>
  </si>
  <si>
    <t>Cling Film</t>
  </si>
  <si>
    <t>ORD051</t>
  </si>
  <si>
    <t>Aman Gupta</t>
  </si>
  <si>
    <t>Masala Tea</t>
  </si>
  <si>
    <t>ORD052</t>
  </si>
  <si>
    <t>Khushi Jain</t>
  </si>
  <si>
    <t>Rava</t>
  </si>
  <si>
    <t>ORD053</t>
  </si>
  <si>
    <t>Nitin Mehta</t>
  </si>
  <si>
    <t>Anti Dandruff Shampoo</t>
  </si>
  <si>
    <t>ORD054</t>
  </si>
  <si>
    <t>Ritu Yadav</t>
  </si>
  <si>
    <t>Sev</t>
  </si>
  <si>
    <t>ORD055</t>
  </si>
  <si>
    <t>Rohan Shah</t>
  </si>
  <si>
    <t>Detergent Powder</t>
  </si>
  <si>
    <t>ORD056</t>
  </si>
  <si>
    <t>Shalini Rao</t>
  </si>
  <si>
    <t>Filter Coffee</t>
  </si>
  <si>
    <t>ORD057</t>
  </si>
  <si>
    <t>Vivek Kumar</t>
  </si>
  <si>
    <t>Arhar Dal</t>
  </si>
  <si>
    <t>ORD058</t>
  </si>
  <si>
    <t>Monika Gupta</t>
  </si>
  <si>
    <t>Moisturizer</t>
  </si>
  <si>
    <t>ORD059</t>
  </si>
  <si>
    <t>Anurag Soni</t>
  </si>
  <si>
    <t>Wafer Chocolate</t>
  </si>
  <si>
    <t>ORD060</t>
  </si>
  <si>
    <t>Payal Sharma</t>
  </si>
  <si>
    <t>Plastic Containers</t>
  </si>
  <si>
    <t>ORD061</t>
  </si>
  <si>
    <t>Raj Malhotra</t>
  </si>
  <si>
    <t>Jeera Rice</t>
  </si>
  <si>
    <t>ORD062</t>
  </si>
  <si>
    <t>Kriti Singh</t>
  </si>
  <si>
    <t>Ginger Ale</t>
  </si>
  <si>
    <t>ORD063</t>
  </si>
  <si>
    <t>Dev Patel</t>
  </si>
  <si>
    <t>Corn Chips</t>
  </si>
  <si>
    <t>ORD064</t>
  </si>
  <si>
    <t>Shweta Mishra</t>
  </si>
  <si>
    <t>Bathroom Cleaner</t>
  </si>
  <si>
    <t>ORD065</t>
  </si>
  <si>
    <t>Ravi Jain</t>
  </si>
  <si>
    <t>Kabuli Chana</t>
  </si>
  <si>
    <t>ORD066</t>
  </si>
  <si>
    <t>Anu Kapoor</t>
  </si>
  <si>
    <t>Pineapple Juice</t>
  </si>
  <si>
    <t>ORD067</t>
  </si>
  <si>
    <t>Varun Verma</t>
  </si>
  <si>
    <t>Beauty Soap</t>
  </si>
  <si>
    <t>ORD068</t>
  </si>
  <si>
    <t>Pallavi Shah</t>
  </si>
  <si>
    <t>Besan</t>
  </si>
  <si>
    <t>ORD069</t>
  </si>
  <si>
    <t>Rahul Soni</t>
  </si>
  <si>
    <t>Oat Biscuits</t>
  </si>
  <si>
    <t>ORD070</t>
  </si>
  <si>
    <t>Neha Jain</t>
  </si>
  <si>
    <t>Food Containers</t>
  </si>
  <si>
    <t>ORD071</t>
  </si>
  <si>
    <t>Arnav Gupta</t>
  </si>
  <si>
    <t>Assam Tea</t>
  </si>
  <si>
    <t>ORD072</t>
  </si>
  <si>
    <t>Sakshi Mehta</t>
  </si>
  <si>
    <t>Atta</t>
  </si>
  <si>
    <t>ORD073</t>
  </si>
  <si>
    <t>Mayank Kumar</t>
  </si>
  <si>
    <t>Hair Conditioner</t>
  </si>
  <si>
    <t>ORD074</t>
  </si>
  <si>
    <t>Roshni Yadav</t>
  </si>
  <si>
    <t>Aloo Bhujia</t>
  </si>
  <si>
    <t>ORD075</t>
  </si>
  <si>
    <t>Kunal Shah</t>
  </si>
  <si>
    <t>Liquid Detergent</t>
  </si>
  <si>
    <t>ORD076</t>
  </si>
  <si>
    <t>Simran Rao</t>
  </si>
  <si>
    <t>Cold Coffee</t>
  </si>
  <si>
    <t>ORD077</t>
  </si>
  <si>
    <t>Ashish Patel</t>
  </si>
  <si>
    <t>Chole</t>
  </si>
  <si>
    <t>ORD078</t>
  </si>
  <si>
    <t>Divya Jain</t>
  </si>
  <si>
    <t>Sunscreen</t>
  </si>
  <si>
    <t>ORD079</t>
  </si>
  <si>
    <t>Akshay Soni</t>
  </si>
  <si>
    <t>White Chocolate</t>
  </si>
  <si>
    <t>ORD080</t>
  </si>
  <si>
    <t>Namrata Kapoor</t>
  </si>
  <si>
    <t>Lunch Box</t>
  </si>
  <si>
    <t>ORD081</t>
  </si>
  <si>
    <t>Varun Bansal</t>
  </si>
  <si>
    <t>Sona Masoori Rice</t>
  </si>
  <si>
    <t>ORD082</t>
  </si>
  <si>
    <t>Ishita Singh</t>
  </si>
  <si>
    <t>Cola Zero</t>
  </si>
  <si>
    <t>ORD083</t>
  </si>
  <si>
    <t>Ritesh Patel</t>
  </si>
  <si>
    <t>Peri Peri Chips</t>
  </si>
  <si>
    <t>ORD084</t>
  </si>
  <si>
    <t>Priyanshi Mishra</t>
  </si>
  <si>
    <t>Multi Purpose Cleaner</t>
  </si>
  <si>
    <t>ORD085</t>
  </si>
  <si>
    <t>Ajay Jain</t>
  </si>
  <si>
    <t>Rajma</t>
  </si>
  <si>
    <t>ORD086</t>
  </si>
  <si>
    <t>Rhea Gupta</t>
  </si>
  <si>
    <t>Mixed Fruit Juice</t>
  </si>
  <si>
    <t>ORD087</t>
  </si>
  <si>
    <t>Mohit Verma</t>
  </si>
  <si>
    <t>Hand Soap</t>
  </si>
  <si>
    <t>ORD088</t>
  </si>
  <si>
    <t>Shreya Shah</t>
  </si>
  <si>
    <t>Gram Flour</t>
  </si>
  <si>
    <t>ORD089</t>
  </si>
  <si>
    <t>Sumit Soni</t>
  </si>
  <si>
    <t>Digestive Biscuits</t>
  </si>
  <si>
    <t>ORD090</t>
  </si>
  <si>
    <t>Kajal Jain</t>
  </si>
  <si>
    <t>Kitchen Mat</t>
  </si>
  <si>
    <t>ORD091</t>
  </si>
  <si>
    <t>Rohan Gupta</t>
  </si>
  <si>
    <t>Darjeeling Tea</t>
  </si>
  <si>
    <t>ORD092</t>
  </si>
  <si>
    <t>Manisha Mehta</t>
  </si>
  <si>
    <t>Multigrain Flour</t>
  </si>
  <si>
    <t>ORD093</t>
  </si>
  <si>
    <t>Himanshu Kumar</t>
  </si>
  <si>
    <t>Hair Serum</t>
  </si>
  <si>
    <t>ORD094</t>
  </si>
  <si>
    <t>Tanya Yadav</t>
  </si>
  <si>
    <t>Chakli</t>
  </si>
  <si>
    <t>ORD095</t>
  </si>
  <si>
    <t>Abhishek Shah</t>
  </si>
  <si>
    <t>ORD096</t>
  </si>
  <si>
    <t>Poonam Rao</t>
  </si>
  <si>
    <t>Arabica Coffee</t>
  </si>
  <si>
    <t>ORD097</t>
  </si>
  <si>
    <t>Rajiv Patel</t>
  </si>
  <si>
    <t>Black Gram</t>
  </si>
  <si>
    <t>ORD098</t>
  </si>
  <si>
    <t>Anjali Jain</t>
  </si>
  <si>
    <t>Face Cream</t>
  </si>
  <si>
    <t>ORD099</t>
  </si>
  <si>
    <t>Cashew Chocolate</t>
  </si>
  <si>
    <t>ORD100</t>
  </si>
  <si>
    <t>Ritu Kapoor</t>
  </si>
  <si>
    <t>Steel Container</t>
  </si>
  <si>
    <t>ORD101</t>
  </si>
  <si>
    <t>Aman Sharma</t>
  </si>
  <si>
    <t>ORD102</t>
  </si>
  <si>
    <t>Priya Gupta</t>
  </si>
  <si>
    <t>Soda</t>
  </si>
  <si>
    <t>ORD103</t>
  </si>
  <si>
    <t>Arjun Patel</t>
  </si>
  <si>
    <t>Cheese Chips</t>
  </si>
  <si>
    <t>ORD104</t>
  </si>
  <si>
    <t>Nisha Mishra</t>
  </si>
  <si>
    <t>Kitchen Cleaner</t>
  </si>
  <si>
    <t>ORD105</t>
  </si>
  <si>
    <t>Rahul Jain</t>
  </si>
  <si>
    <t>Mixed Dal</t>
  </si>
  <si>
    <t>ORD106</t>
  </si>
  <si>
    <t>Kavita Verma</t>
  </si>
  <si>
    <t>Guava Juice</t>
  </si>
  <si>
    <t>ORD107</t>
  </si>
  <si>
    <t>Ankit Soni</t>
  </si>
  <si>
    <t>Moisturizing Soap</t>
  </si>
  <si>
    <t>ORD108</t>
  </si>
  <si>
    <t>Riya Shah</t>
  </si>
  <si>
    <t>Rice Flour</t>
  </si>
  <si>
    <t>ORD109</t>
  </si>
  <si>
    <t>Vikas Jain</t>
  </si>
  <si>
    <t>Chocolate Biscuits</t>
  </si>
  <si>
    <t>ORD110</t>
  </si>
  <si>
    <t>Neha Kapoor</t>
  </si>
  <si>
    <t>Water Bottle</t>
  </si>
  <si>
    <t>ORD111</t>
  </si>
  <si>
    <t>Raj Gupta</t>
  </si>
  <si>
    <t>Lemon Tea</t>
  </si>
  <si>
    <t>ORD112</t>
  </si>
  <si>
    <t>Simran Mehta</t>
  </si>
  <si>
    <t>Bajra Flour</t>
  </si>
  <si>
    <t>ORD113</t>
  </si>
  <si>
    <t>Sahil Kumar</t>
  </si>
  <si>
    <t>Herbal Shampoo</t>
  </si>
  <si>
    <t>ORD114</t>
  </si>
  <si>
    <t>Priya Yadav</t>
  </si>
  <si>
    <t>Peanut Mixture</t>
  </si>
  <si>
    <t>ORD115</t>
  </si>
  <si>
    <t>Varun Shah</t>
  </si>
  <si>
    <t>Detergent Bar</t>
  </si>
  <si>
    <t>ORD116</t>
  </si>
  <si>
    <t>Shweta Rao</t>
  </si>
  <si>
    <t>Mocha Coffee</t>
  </si>
  <si>
    <t>ORD117</t>
  </si>
  <si>
    <t>Rohit Patel</t>
  </si>
  <si>
    <t>Green Gram</t>
  </si>
  <si>
    <t>ORD118</t>
  </si>
  <si>
    <t>Ananya Jain</t>
  </si>
  <si>
    <t>Body Wash</t>
  </si>
  <si>
    <t>ORD119</t>
  </si>
  <si>
    <t>Manish Soni</t>
  </si>
  <si>
    <t>Hazelnut Chocolate</t>
  </si>
  <si>
    <t>ORD120</t>
  </si>
  <si>
    <t>Komal Kapoor</t>
  </si>
  <si>
    <t>Spice Box</t>
  </si>
  <si>
    <t>ORD121</t>
  </si>
  <si>
    <t>Ashok Sharma</t>
  </si>
  <si>
    <t>Parboiled Rice</t>
  </si>
  <si>
    <t>ORD122</t>
  </si>
  <si>
    <t>Megha Singh</t>
  </si>
  <si>
    <t>Mango Soda</t>
  </si>
  <si>
    <t>ORD123</t>
  </si>
  <si>
    <t>Dev Verma</t>
  </si>
  <si>
    <t>Masala Chips</t>
  </si>
  <si>
    <t>ORD124</t>
  </si>
  <si>
    <t>Disinfectant</t>
  </si>
  <si>
    <t>ORD125</t>
  </si>
  <si>
    <t>Kunal Jain</t>
  </si>
  <si>
    <t>White Chana</t>
  </si>
  <si>
    <t>ORD126</t>
  </si>
  <si>
    <t>Shreya Gupta</t>
  </si>
  <si>
    <t>Watermelon Juice</t>
  </si>
  <si>
    <t>ORD127</t>
  </si>
  <si>
    <t>Rakesh Verma</t>
  </si>
  <si>
    <t>Neem Soap</t>
  </si>
  <si>
    <t>ORD128</t>
  </si>
  <si>
    <t>Diya Shah</t>
  </si>
  <si>
    <t>Ragi Flour</t>
  </si>
  <si>
    <t>ORD129</t>
  </si>
  <si>
    <t>Amit Soni</t>
  </si>
  <si>
    <t>Coconut Biscuits</t>
  </si>
  <si>
    <t>ORD130</t>
  </si>
  <si>
    <t>Nikita Jain</t>
  </si>
  <si>
    <t>Serving Bowl</t>
  </si>
  <si>
    <t>ORD131</t>
  </si>
  <si>
    <t>Rajiv Gupta</t>
  </si>
  <si>
    <t>Cardamom Tea</t>
  </si>
  <si>
    <t>ORD132</t>
  </si>
  <si>
    <t>Swati Mehta</t>
  </si>
  <si>
    <t>Jowar Flour</t>
  </si>
  <si>
    <t>ORD133</t>
  </si>
  <si>
    <t>Ashish Kumar</t>
  </si>
  <si>
    <t>Kids Shampoo</t>
  </si>
  <si>
    <t>ORD134</t>
  </si>
  <si>
    <t>Radhika Yadav</t>
  </si>
  <si>
    <t>Mathri</t>
  </si>
  <si>
    <t>ORD135</t>
  </si>
  <si>
    <t>Manav Shah</t>
  </si>
  <si>
    <t>Liquid Bleach</t>
  </si>
  <si>
    <t>ORD136</t>
  </si>
  <si>
    <t>Priya Rao</t>
  </si>
  <si>
    <t>Hazelnut Coffee</t>
  </si>
  <si>
    <t>ORD137</t>
  </si>
  <si>
    <t>Vivek Patel</t>
  </si>
  <si>
    <t>Soya Beans</t>
  </si>
  <si>
    <t>ORD138</t>
  </si>
  <si>
    <t>Kavya Jain</t>
  </si>
  <si>
    <t>Hand Cream</t>
  </si>
  <si>
    <t>ORD139</t>
  </si>
  <si>
    <t>Almond Chocolate</t>
  </si>
  <si>
    <t>ORD140</t>
  </si>
  <si>
    <t>Anjali Kapoor</t>
  </si>
  <si>
    <t>Cutting Board</t>
  </si>
  <si>
    <t>ORD141</t>
  </si>
  <si>
    <t>Deepak Sharma</t>
  </si>
  <si>
    <t>Red Rice</t>
  </si>
  <si>
    <t>ORD142</t>
  </si>
  <si>
    <t>Isha Singh</t>
  </si>
  <si>
    <t>Jeera Soda</t>
  </si>
  <si>
    <t>ORD143</t>
  </si>
  <si>
    <t>Harsh Verma</t>
  </si>
  <si>
    <t>Spicy Chips</t>
  </si>
  <si>
    <t>ORD144</t>
  </si>
  <si>
    <t>Preeti Gupta</t>
  </si>
  <si>
    <t>Phenyl</t>
  </si>
  <si>
    <t>ORD145</t>
  </si>
  <si>
    <t>Moth Dal</t>
  </si>
  <si>
    <t>ORD146</t>
  </si>
  <si>
    <t>Riya Verma</t>
  </si>
  <si>
    <t>Pomegranate Juice</t>
  </si>
  <si>
    <t>ORD147</t>
  </si>
  <si>
    <t>Akash Soni</t>
  </si>
  <si>
    <t>Charcoal Soap</t>
  </si>
  <si>
    <t>ORD148</t>
  </si>
  <si>
    <t>Simran Shah</t>
  </si>
  <si>
    <t>Oats</t>
  </si>
  <si>
    <t>ORD149</t>
  </si>
  <si>
    <t>Naveen Jain</t>
  </si>
  <si>
    <t>Cashew Biscuits</t>
  </si>
  <si>
    <t>ORD150</t>
  </si>
  <si>
    <t>Pallavi Kapoor</t>
  </si>
  <si>
    <t>Glass Jar</t>
  </si>
  <si>
    <t>ORD151</t>
  </si>
  <si>
    <t>Ginger Tea</t>
  </si>
  <si>
    <t>ORD152</t>
  </si>
  <si>
    <t>Monika Mehta</t>
  </si>
  <si>
    <t>Barley Flour</t>
  </si>
  <si>
    <t>ORD153</t>
  </si>
  <si>
    <t>Amit Kumar</t>
  </si>
  <si>
    <t>Protein Shampoo</t>
  </si>
  <si>
    <t>ORD154</t>
  </si>
  <si>
    <t>Neha Yadav</t>
  </si>
  <si>
    <t>Chivda</t>
  </si>
  <si>
    <t>ORD155</t>
  </si>
  <si>
    <t>Washing Powder</t>
  </si>
  <si>
    <t>ORD156</t>
  </si>
  <si>
    <t>Classic Coffee</t>
  </si>
  <si>
    <t>ORD157</t>
  </si>
  <si>
    <t>Ravi Patel</t>
  </si>
  <si>
    <t>Toor Dal Premium</t>
  </si>
  <si>
    <t>ORD158</t>
  </si>
  <si>
    <t>Night Cream</t>
  </si>
  <si>
    <t>ORD159</t>
  </si>
  <si>
    <t>Sachin Soni</t>
  </si>
  <si>
    <t>Caramel Chocolate</t>
  </si>
  <si>
    <t>ORD160</t>
  </si>
  <si>
    <t>Divya Kapoor</t>
  </si>
  <si>
    <t>Steel Bottle</t>
  </si>
  <si>
    <t>ORD161</t>
  </si>
  <si>
    <t>Raj Sharma</t>
  </si>
  <si>
    <t>Brown Rice</t>
  </si>
  <si>
    <t>ORD162</t>
  </si>
  <si>
    <t>Apple Soda</t>
  </si>
  <si>
    <t>ORD163</t>
  </si>
  <si>
    <t>Classic Chips</t>
  </si>
  <si>
    <t>ORD164</t>
  </si>
  <si>
    <t>Floor Disinfectant</t>
  </si>
  <si>
    <t>ORD165</t>
  </si>
  <si>
    <t>Masoor Dal Premium</t>
  </si>
  <si>
    <t>ORD166</t>
  </si>
  <si>
    <t>Pooja Verma</t>
  </si>
  <si>
    <t>Orange Juice</t>
  </si>
  <si>
    <t>ORD167</t>
  </si>
  <si>
    <t>Herbal Soap</t>
  </si>
  <si>
    <t>ORD168</t>
  </si>
  <si>
    <t>Quinoa</t>
  </si>
  <si>
    <t>ORD169</t>
  </si>
  <si>
    <t>Almond Biscuits</t>
  </si>
  <si>
    <t>ORD170</t>
  </si>
  <si>
    <t>Nisha Kapoor</t>
  </si>
  <si>
    <t>Spice Rack</t>
  </si>
  <si>
    <t>ORD171</t>
  </si>
  <si>
    <t>Darjeeling Premium Tea</t>
  </si>
  <si>
    <t>ORD172</t>
  </si>
  <si>
    <t>Multigrain Atta</t>
  </si>
  <si>
    <t>ORD173</t>
  </si>
  <si>
    <t>Organic Shampoo</t>
  </si>
  <si>
    <t>ORD174</t>
  </si>
  <si>
    <t>Spicy Mixture</t>
  </si>
  <si>
    <t>ORD175</t>
  </si>
  <si>
    <t>Kitchen Degreaser</t>
  </si>
  <si>
    <t>ORD176</t>
  </si>
  <si>
    <t>Cold Brew Coffee</t>
  </si>
  <si>
    <t>ORD177</t>
  </si>
  <si>
    <t>Chickpeas</t>
  </si>
  <si>
    <t>ORD178</t>
  </si>
  <si>
    <t>Aloe Vera Gel</t>
  </si>
  <si>
    <t>ORD179</t>
  </si>
  <si>
    <t>Fruit Chocolate</t>
  </si>
  <si>
    <t>ORD180</t>
  </si>
  <si>
    <t>Serving Tray</t>
  </si>
  <si>
    <t>ORD181</t>
  </si>
  <si>
    <t>Sticky Rice</t>
  </si>
  <si>
    <t>ORD182</t>
  </si>
  <si>
    <t>Grape Soda</t>
  </si>
  <si>
    <t>ORD183</t>
  </si>
  <si>
    <t>Tomato Chips</t>
  </si>
  <si>
    <t>ORD184</t>
  </si>
  <si>
    <t>Bathroom Disinfectant</t>
  </si>
  <si>
    <t>ORD185</t>
  </si>
  <si>
    <t>Moong Dal Premium</t>
  </si>
  <si>
    <t>ORD186</t>
  </si>
  <si>
    <t>Kiwi Juice</t>
  </si>
  <si>
    <t>ORD187</t>
  </si>
  <si>
    <t>Lavender Soap</t>
  </si>
  <si>
    <t>ORD188</t>
  </si>
  <si>
    <t>Chia Seeds</t>
  </si>
  <si>
    <t>ORD189</t>
  </si>
  <si>
    <t>Honey Biscuits</t>
  </si>
  <si>
    <t>ORD190</t>
  </si>
  <si>
    <t>Glass Container</t>
  </si>
  <si>
    <t>ORD191</t>
  </si>
  <si>
    <t>Elaichi Tea</t>
  </si>
  <si>
    <t>ORD192</t>
  </si>
  <si>
    <t>Almond Flour</t>
  </si>
  <si>
    <t>ORD193</t>
  </si>
  <si>
    <t>Keratin Shampoo</t>
  </si>
  <si>
    <t>ORD194</t>
  </si>
  <si>
    <t>Dal Moth</t>
  </si>
  <si>
    <t>ORD195</t>
  </si>
  <si>
    <t>Detergent Liquid</t>
  </si>
  <si>
    <t>ORD196</t>
  </si>
  <si>
    <t>Premium Coffee</t>
  </si>
  <si>
    <t>ORD197</t>
  </si>
  <si>
    <t>Mixed Pulses</t>
  </si>
  <si>
    <t>ORD198</t>
  </si>
  <si>
    <t>Anti Aging Cream</t>
  </si>
  <si>
    <t>ORD199</t>
  </si>
  <si>
    <t>Premium Chocolate</t>
  </si>
  <si>
    <t>ORD200</t>
  </si>
  <si>
    <t>Kitchen Organizer</t>
  </si>
  <si>
    <t>Sum of Sales</t>
  </si>
  <si>
    <t>Sum of Profit</t>
  </si>
  <si>
    <t>Count of Order ID</t>
  </si>
  <si>
    <t>Count of Order ID2</t>
  </si>
  <si>
    <t>Sum of Quantity</t>
  </si>
  <si>
    <t>Row Labels</t>
  </si>
  <si>
    <t>Grand Total</t>
  </si>
  <si>
    <t>Jan</t>
  </si>
  <si>
    <t>Feb</t>
  </si>
  <si>
    <t>Mar</t>
  </si>
  <si>
    <t>Apr</t>
  </si>
  <si>
    <t>May</t>
  </si>
  <si>
    <t>Jun</t>
  </si>
  <si>
    <t>Jul</t>
  </si>
  <si>
    <t>2025</t>
  </si>
  <si>
    <t xml:space="preserve">Super Mart Sales dashboard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</si>
</sst>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b/>
      <sz val="18"/>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9" fontId="0" fillId="0" borderId="0" xfId="0" applyNumberFormat="1"/>
    <xf numFmtId="1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Alignment="1">
      <alignment horizontal="center"/>
    </xf>
    <xf numFmtId="0" fontId="1" fillId="0" borderId="0" xfId="0" pivotButton="1" applyFont="1"/>
    <xf numFmtId="0" fontId="1" fillId="0" borderId="0" xfId="0" applyFont="1"/>
    <xf numFmtId="0" fontId="2" fillId="0" borderId="0" xfId="0" applyFont="1" applyAlignment="1">
      <alignment horizontal="center"/>
    </xf>
  </cellXfs>
  <cellStyles count="1">
    <cellStyle name="Normal" xfId="0" builtinId="0"/>
  </cellStyles>
  <dxfs count="15">
    <dxf>
      <font>
        <color rgb="FF9C0006"/>
      </font>
      <fill>
        <patternFill>
          <bgColor rgb="FFFFC7CE"/>
        </patternFill>
      </fill>
    </dxf>
    <dxf>
      <numFmt numFmtId="13" formatCode="0%"/>
    </dxf>
    <dxf>
      <numFmt numFmtId="19" formatCode="dd/mm/yyyy"/>
    </dxf>
    <dxf>
      <font>
        <b/>
      </font>
    </dxf>
    <dxf>
      <font>
        <b/>
      </font>
    </dxf>
    <dxf>
      <font>
        <b/>
      </font>
    </dxf>
    <dxf>
      <font>
        <b/>
      </font>
    </dxf>
    <dxf>
      <font>
        <b/>
      </font>
    </dxf>
    <dxf>
      <font>
        <b/>
      </font>
    </dxf>
    <dxf>
      <fill>
        <patternFill patternType="none">
          <bgColor auto="1"/>
        </patternFill>
      </fill>
    </dxf>
    <dxf>
      <fill>
        <patternFill patternType="none">
          <bgColor auto="1"/>
        </patternFill>
      </fill>
    </dxf>
    <dxf>
      <fill>
        <patternFill patternType="none">
          <bgColor auto="1"/>
        </patternFill>
      </fill>
    </dxf>
    <dxf>
      <font>
        <b/>
      </font>
    </dxf>
    <dxf>
      <font>
        <b/>
      </font>
    </dxf>
    <dxf>
      <font>
        <b/>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4.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3.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retail.1.xlsx]category!PivotTable5</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b="1"/>
              <a:t>category</a:t>
            </a:r>
            <a:r>
              <a:rPr lang="en-US" b="1" baseline="0"/>
              <a:t> wise sales</a:t>
            </a:r>
            <a:endParaRPr lang="en-US" b="1"/>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category!$B$3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category!$A$4:$A$9</c:f>
              <c:strCache>
                <c:ptCount val="5"/>
                <c:pt idx="0">
                  <c:v>Beverages</c:v>
                </c:pt>
                <c:pt idx="1">
                  <c:v>Grocery</c:v>
                </c:pt>
                <c:pt idx="2">
                  <c:v>Household</c:v>
                </c:pt>
                <c:pt idx="3">
                  <c:v>Personal Care</c:v>
                </c:pt>
                <c:pt idx="4">
                  <c:v>Snacks</c:v>
                </c:pt>
              </c:strCache>
            </c:strRef>
          </c:cat>
          <c:val>
            <c:numRef>
              <c:f>category!$B$4:$B$9</c:f>
              <c:numCache>
                <c:formatCode>General</c:formatCode>
                <c:ptCount val="5"/>
                <c:pt idx="0">
                  <c:v>27410</c:v>
                </c:pt>
                <c:pt idx="1">
                  <c:v>41140</c:v>
                </c:pt>
                <c:pt idx="2">
                  <c:v>27660</c:v>
                </c:pt>
                <c:pt idx="3">
                  <c:v>20840</c:v>
                </c:pt>
                <c:pt idx="4">
                  <c:v>19800</c:v>
                </c:pt>
              </c:numCache>
            </c:numRef>
          </c:val>
          <c:extLst>
            <c:ext xmlns:c16="http://schemas.microsoft.com/office/drawing/2014/chart" uri="{C3380CC4-5D6E-409C-BE32-E72D297353CC}">
              <c16:uniqueId val="{00000000-2289-4EF7-81E9-8A66CC70A744}"/>
            </c:ext>
          </c:extLst>
        </c:ser>
        <c:dLbls>
          <c:showLegendKey val="0"/>
          <c:showVal val="1"/>
          <c:showCatName val="0"/>
          <c:showSerName val="0"/>
          <c:showPercent val="0"/>
          <c:showBubbleSize val="0"/>
        </c:dLbls>
        <c:gapWidth val="150"/>
        <c:shape val="box"/>
        <c:axId val="722453567"/>
        <c:axId val="818637967"/>
        <c:axId val="0"/>
      </c:bar3DChart>
      <c:catAx>
        <c:axId val="72245356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18637967"/>
        <c:crosses val="autoZero"/>
        <c:auto val="1"/>
        <c:lblAlgn val="ctr"/>
        <c:lblOffset val="100"/>
        <c:noMultiLvlLbl val="0"/>
      </c:catAx>
      <c:valAx>
        <c:axId val="818637967"/>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224535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retail.1.xlsx]region!PivotTable6</c:name>
    <c:fmtId val="0"/>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b="1">
                <a:solidFill>
                  <a:schemeClr val="tx1"/>
                </a:solidFill>
              </a:rPr>
              <a:t>sales</a:t>
            </a:r>
            <a:r>
              <a:rPr lang="en-US" sz="1600" b="1" baseline="0">
                <a:solidFill>
                  <a:schemeClr val="tx1"/>
                </a:solidFill>
              </a:rPr>
              <a:t> by region</a:t>
            </a:r>
            <a:endParaRPr lang="en-US" sz="1600" b="1">
              <a:solidFill>
                <a:schemeClr val="tx1"/>
              </a:solidFill>
            </a:endParaRP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region!$B$3</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region!$A$4:$A$8</c:f>
              <c:strCache>
                <c:ptCount val="4"/>
                <c:pt idx="0">
                  <c:v>Central</c:v>
                </c:pt>
                <c:pt idx="1">
                  <c:v>North</c:v>
                </c:pt>
                <c:pt idx="2">
                  <c:v>South</c:v>
                </c:pt>
                <c:pt idx="3">
                  <c:v>West</c:v>
                </c:pt>
              </c:strCache>
            </c:strRef>
          </c:cat>
          <c:val>
            <c:numRef>
              <c:f>region!$B$4:$B$8</c:f>
              <c:numCache>
                <c:formatCode>General</c:formatCode>
                <c:ptCount val="4"/>
                <c:pt idx="0">
                  <c:v>25810</c:v>
                </c:pt>
                <c:pt idx="1">
                  <c:v>51600</c:v>
                </c:pt>
                <c:pt idx="2">
                  <c:v>8390</c:v>
                </c:pt>
                <c:pt idx="3">
                  <c:v>51050</c:v>
                </c:pt>
              </c:numCache>
            </c:numRef>
          </c:val>
          <c:extLst>
            <c:ext xmlns:c16="http://schemas.microsoft.com/office/drawing/2014/chart" uri="{C3380CC4-5D6E-409C-BE32-E72D297353CC}">
              <c16:uniqueId val="{00000000-1838-4DFA-83EC-6074F2ED55AA}"/>
            </c:ext>
          </c:extLst>
        </c:ser>
        <c:dLbls>
          <c:showLegendKey val="0"/>
          <c:showVal val="1"/>
          <c:showCatName val="0"/>
          <c:showSerName val="0"/>
          <c:showPercent val="0"/>
          <c:showBubbleSize val="0"/>
        </c:dLbls>
        <c:gapWidth val="150"/>
        <c:shape val="box"/>
        <c:axId val="945244639"/>
        <c:axId val="971451631"/>
        <c:axId val="0"/>
      </c:bar3DChart>
      <c:catAx>
        <c:axId val="94524463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1451631"/>
        <c:crosses val="autoZero"/>
        <c:auto val="1"/>
        <c:lblAlgn val="ctr"/>
        <c:lblOffset val="100"/>
        <c:noMultiLvlLbl val="0"/>
      </c:catAx>
      <c:valAx>
        <c:axId val="97145163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52446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retail.1.xlsx]monthly sales!PivotTable7</c:name>
    <c:fmtId val="0"/>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monthly</a:t>
            </a:r>
            <a:r>
              <a:rPr lang="en-US" b="1" baseline="0">
                <a:solidFill>
                  <a:schemeClr val="tx1"/>
                </a:solidFill>
              </a:rPr>
              <a:t> sales trend</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sales'!$B$3</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'monthly sales'!$A$4:$A$12</c:f>
              <c:multiLvlStrCache>
                <c:ptCount val="7"/>
                <c:lvl>
                  <c:pt idx="0">
                    <c:v>Jan</c:v>
                  </c:pt>
                  <c:pt idx="1">
                    <c:v>Feb</c:v>
                  </c:pt>
                  <c:pt idx="2">
                    <c:v>Mar</c:v>
                  </c:pt>
                  <c:pt idx="3">
                    <c:v>Apr</c:v>
                  </c:pt>
                  <c:pt idx="4">
                    <c:v>May</c:v>
                  </c:pt>
                  <c:pt idx="5">
                    <c:v>Jun</c:v>
                  </c:pt>
                  <c:pt idx="6">
                    <c:v>Jul</c:v>
                  </c:pt>
                </c:lvl>
                <c:lvl>
                  <c:pt idx="0">
                    <c:v>2025</c:v>
                  </c:pt>
                </c:lvl>
              </c:multiLvlStrCache>
            </c:multiLvlStrRef>
          </c:cat>
          <c:val>
            <c:numRef>
              <c:f>'monthly sales'!$B$4:$B$12</c:f>
              <c:numCache>
                <c:formatCode>General</c:formatCode>
                <c:ptCount val="7"/>
                <c:pt idx="0">
                  <c:v>17490</c:v>
                </c:pt>
                <c:pt idx="1">
                  <c:v>17430</c:v>
                </c:pt>
                <c:pt idx="2">
                  <c:v>21430</c:v>
                </c:pt>
                <c:pt idx="3">
                  <c:v>20030</c:v>
                </c:pt>
                <c:pt idx="4">
                  <c:v>20380</c:v>
                </c:pt>
                <c:pt idx="5">
                  <c:v>22100</c:v>
                </c:pt>
                <c:pt idx="6">
                  <c:v>17990</c:v>
                </c:pt>
              </c:numCache>
            </c:numRef>
          </c:val>
          <c:smooth val="0"/>
          <c:extLst>
            <c:ext xmlns:c16="http://schemas.microsoft.com/office/drawing/2014/chart" uri="{C3380CC4-5D6E-409C-BE32-E72D297353CC}">
              <c16:uniqueId val="{00000000-5416-465F-BD01-8596E172A2EC}"/>
            </c:ext>
          </c:extLst>
        </c:ser>
        <c:dLbls>
          <c:dLblPos val="t"/>
          <c:showLegendKey val="0"/>
          <c:showVal val="1"/>
          <c:showCatName val="0"/>
          <c:showSerName val="0"/>
          <c:showPercent val="0"/>
          <c:showBubbleSize val="0"/>
        </c:dLbls>
        <c:smooth val="0"/>
        <c:axId val="955158831"/>
        <c:axId val="971435311"/>
      </c:lineChart>
      <c:catAx>
        <c:axId val="9551588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971435311"/>
        <c:crosses val="autoZero"/>
        <c:auto val="1"/>
        <c:lblAlgn val="ctr"/>
        <c:lblOffset val="100"/>
        <c:noMultiLvlLbl val="0"/>
      </c:catAx>
      <c:valAx>
        <c:axId val="97143531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9551588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retail.1.xlsx]segment!PivotTable8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sales</a:t>
            </a:r>
            <a:r>
              <a:rPr lang="en-US" b="1" baseline="0">
                <a:solidFill>
                  <a:schemeClr val="tx1"/>
                </a:solidFill>
              </a:rPr>
              <a:t> by segment</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segment!$B$3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D6F-4084-8A4A-2F08CFB9151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D6F-4084-8A4A-2F08CFB9151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D6F-4084-8A4A-2F08CFB91514}"/>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segment!$A$4:$A$7</c:f>
              <c:strCache>
                <c:ptCount val="3"/>
                <c:pt idx="0">
                  <c:v>Consumer</c:v>
                </c:pt>
                <c:pt idx="1">
                  <c:v>Corporate</c:v>
                </c:pt>
                <c:pt idx="2">
                  <c:v>Home Office</c:v>
                </c:pt>
              </c:strCache>
            </c:strRef>
          </c:cat>
          <c:val>
            <c:numRef>
              <c:f>segment!$B$4:$B$7</c:f>
              <c:numCache>
                <c:formatCode>General</c:formatCode>
                <c:ptCount val="3"/>
                <c:pt idx="0">
                  <c:v>91380</c:v>
                </c:pt>
                <c:pt idx="1">
                  <c:v>31280</c:v>
                </c:pt>
                <c:pt idx="2">
                  <c:v>14190</c:v>
                </c:pt>
              </c:numCache>
            </c:numRef>
          </c:val>
          <c:extLst>
            <c:ext xmlns:c16="http://schemas.microsoft.com/office/drawing/2014/chart" uri="{C3380CC4-5D6E-409C-BE32-E72D297353CC}">
              <c16:uniqueId val="{00000000-6A67-4B51-A379-28EC6AA56A53}"/>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retail.1.xlsx]category wise profit!PivotTable9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category</a:t>
            </a:r>
            <a:r>
              <a:rPr lang="en-US" b="1" baseline="0">
                <a:solidFill>
                  <a:schemeClr val="tx1"/>
                </a:solidFill>
              </a:rPr>
              <a:t> wise profit</a:t>
            </a:r>
            <a:endParaRPr lang="en-US" b="1">
              <a:solidFill>
                <a:schemeClr val="tx1"/>
              </a:solidFill>
            </a:endParaRPr>
          </a:p>
        </c:rich>
      </c:tx>
      <c:layout>
        <c:manualLayout>
          <c:xMode val="edge"/>
          <c:yMode val="edge"/>
          <c:x val="0.24112477286493034"/>
          <c:y val="3.713527851458885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'category wise profit'!$B$3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'category wise profit'!$A$4:$A$9</c:f>
              <c:strCache>
                <c:ptCount val="5"/>
                <c:pt idx="0">
                  <c:v>Beverages</c:v>
                </c:pt>
                <c:pt idx="1">
                  <c:v>Grocery</c:v>
                </c:pt>
                <c:pt idx="2">
                  <c:v>Household</c:v>
                </c:pt>
                <c:pt idx="3">
                  <c:v>Personal Care</c:v>
                </c:pt>
                <c:pt idx="4">
                  <c:v>Snacks</c:v>
                </c:pt>
              </c:strCache>
            </c:strRef>
          </c:cat>
          <c:val>
            <c:numRef>
              <c:f>'category wise profit'!$B$4:$B$9</c:f>
              <c:numCache>
                <c:formatCode>General</c:formatCode>
                <c:ptCount val="5"/>
                <c:pt idx="0">
                  <c:v>3753</c:v>
                </c:pt>
                <c:pt idx="1">
                  <c:v>6133</c:v>
                </c:pt>
                <c:pt idx="2">
                  <c:v>3518</c:v>
                </c:pt>
                <c:pt idx="3">
                  <c:v>2513</c:v>
                </c:pt>
                <c:pt idx="4">
                  <c:v>2857</c:v>
                </c:pt>
              </c:numCache>
            </c:numRef>
          </c:val>
          <c:extLst>
            <c:ext xmlns:c16="http://schemas.microsoft.com/office/drawing/2014/chart" uri="{C3380CC4-5D6E-409C-BE32-E72D297353CC}">
              <c16:uniqueId val="{00000000-69D7-4254-94BC-7BA349A83DDA}"/>
            </c:ext>
          </c:extLst>
        </c:ser>
        <c:dLbls>
          <c:dLblPos val="ctr"/>
          <c:showLegendKey val="0"/>
          <c:showVal val="1"/>
          <c:showCatName val="0"/>
          <c:showSerName val="0"/>
          <c:showPercent val="0"/>
          <c:showBubbleSize val="0"/>
        </c:dLbls>
        <c:gapWidth val="150"/>
        <c:overlap val="100"/>
        <c:axId val="946413151"/>
        <c:axId val="971437231"/>
      </c:barChart>
      <c:catAx>
        <c:axId val="9464131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971437231"/>
        <c:crosses val="autoZero"/>
        <c:auto val="1"/>
        <c:lblAlgn val="ctr"/>
        <c:lblOffset val="100"/>
        <c:noMultiLvlLbl val="0"/>
      </c:catAx>
      <c:valAx>
        <c:axId val="97143723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9464131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retail.1.xlsx]top 10 product!PivotTable10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Top</a:t>
            </a:r>
            <a:r>
              <a:rPr lang="en-US" b="1" baseline="0">
                <a:solidFill>
                  <a:schemeClr val="tx1"/>
                </a:solidFill>
              </a:rPr>
              <a:t> 10 product sales</a:t>
            </a:r>
            <a:endParaRPr lang="en-US" b="1">
              <a:solidFill>
                <a:schemeClr val="tx1"/>
              </a:solidFill>
            </a:endParaRPr>
          </a:p>
        </c:rich>
      </c:tx>
      <c:layout>
        <c:manualLayout>
          <c:xMode val="edge"/>
          <c:yMode val="edge"/>
          <c:x val="0.25125595986892174"/>
          <c:y val="3.223937007874015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'top 10 product'!$B$3</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10 product'!$A$4:$A$15</c:f>
              <c:strCache>
                <c:ptCount val="11"/>
                <c:pt idx="0">
                  <c:v>Basmati Rice</c:v>
                </c:pt>
                <c:pt idx="1">
                  <c:v>Brown Rice</c:v>
                </c:pt>
                <c:pt idx="2">
                  <c:v>Jeera Rice</c:v>
                </c:pt>
                <c:pt idx="3">
                  <c:v>Laundry Detergent</c:v>
                </c:pt>
                <c:pt idx="4">
                  <c:v>Organic Rice</c:v>
                </c:pt>
                <c:pt idx="5">
                  <c:v>Parboiled Rice</c:v>
                </c:pt>
                <c:pt idx="6">
                  <c:v>Premium Coffee</c:v>
                </c:pt>
                <c:pt idx="7">
                  <c:v>Red Rice</c:v>
                </c:pt>
                <c:pt idx="8">
                  <c:v>Rice</c:v>
                </c:pt>
                <c:pt idx="9">
                  <c:v>Sona Masoori Rice</c:v>
                </c:pt>
                <c:pt idx="10">
                  <c:v>Sticky Rice</c:v>
                </c:pt>
              </c:strCache>
            </c:strRef>
          </c:cat>
          <c:val>
            <c:numRef>
              <c:f>'top 10 product'!$B$4:$B$15</c:f>
              <c:numCache>
                <c:formatCode>General</c:formatCode>
                <c:ptCount val="11"/>
                <c:pt idx="0">
                  <c:v>3000</c:v>
                </c:pt>
                <c:pt idx="1">
                  <c:v>1410</c:v>
                </c:pt>
                <c:pt idx="2">
                  <c:v>1320</c:v>
                </c:pt>
                <c:pt idx="3">
                  <c:v>1150</c:v>
                </c:pt>
                <c:pt idx="4">
                  <c:v>1680</c:v>
                </c:pt>
                <c:pt idx="5">
                  <c:v>1190</c:v>
                </c:pt>
                <c:pt idx="6">
                  <c:v>1150</c:v>
                </c:pt>
                <c:pt idx="7">
                  <c:v>1370</c:v>
                </c:pt>
                <c:pt idx="8">
                  <c:v>1250</c:v>
                </c:pt>
                <c:pt idx="9">
                  <c:v>1280</c:v>
                </c:pt>
                <c:pt idx="10">
                  <c:v>1290</c:v>
                </c:pt>
              </c:numCache>
            </c:numRef>
          </c:val>
          <c:extLst>
            <c:ext xmlns:c16="http://schemas.microsoft.com/office/drawing/2014/chart" uri="{C3380CC4-5D6E-409C-BE32-E72D297353CC}">
              <c16:uniqueId val="{00000000-B39C-4F38-8F07-A7E19F195ADD}"/>
            </c:ext>
          </c:extLst>
        </c:ser>
        <c:dLbls>
          <c:showLegendKey val="0"/>
          <c:showVal val="1"/>
          <c:showCatName val="0"/>
          <c:showSerName val="0"/>
          <c:showPercent val="0"/>
          <c:showBubbleSize val="0"/>
        </c:dLbls>
        <c:gapWidth val="150"/>
        <c:shape val="box"/>
        <c:axId val="955185743"/>
        <c:axId val="971456911"/>
        <c:axId val="0"/>
      </c:bar3DChart>
      <c:catAx>
        <c:axId val="95518574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971456911"/>
        <c:crosses val="autoZero"/>
        <c:auto val="1"/>
        <c:lblAlgn val="ctr"/>
        <c:lblOffset val="100"/>
        <c:noMultiLvlLbl val="0"/>
      </c:catAx>
      <c:valAx>
        <c:axId val="97145691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9551857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retail.1.xlsx]payment mode!PivotTable11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payment</a:t>
            </a:r>
            <a:r>
              <a:rPr lang="en-US" b="1" baseline="0">
                <a:solidFill>
                  <a:schemeClr val="tx1"/>
                </a:solidFill>
              </a:rPr>
              <a:t> mode analysis</a:t>
            </a:r>
            <a:endParaRPr lang="en-US" b="1">
              <a:solidFill>
                <a:schemeClr val="tx1"/>
              </a:solidFill>
            </a:endParaRPr>
          </a:p>
        </c:rich>
      </c:tx>
      <c:layout>
        <c:manualLayout>
          <c:xMode val="edge"/>
          <c:yMode val="edge"/>
          <c:x val="0.22070249283355708"/>
          <c:y val="3.058103975535168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'payment mode'!$B$3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E3A-4BC4-8B2A-F79202D24A1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E3A-4BC4-8B2A-F79202D24A1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E3A-4BC4-8B2A-F79202D24A15}"/>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'payment mode'!$A$4:$A$7</c:f>
              <c:strCache>
                <c:ptCount val="3"/>
                <c:pt idx="0">
                  <c:v>Card</c:v>
                </c:pt>
                <c:pt idx="1">
                  <c:v>Cash</c:v>
                </c:pt>
                <c:pt idx="2">
                  <c:v>UPI</c:v>
                </c:pt>
              </c:strCache>
            </c:strRef>
          </c:cat>
          <c:val>
            <c:numRef>
              <c:f>'payment mode'!$B$4:$B$7</c:f>
              <c:numCache>
                <c:formatCode>General</c:formatCode>
                <c:ptCount val="3"/>
                <c:pt idx="0">
                  <c:v>57170</c:v>
                </c:pt>
                <c:pt idx="1">
                  <c:v>26740</c:v>
                </c:pt>
                <c:pt idx="2">
                  <c:v>52940</c:v>
                </c:pt>
              </c:numCache>
            </c:numRef>
          </c:val>
          <c:extLst>
            <c:ext xmlns:c16="http://schemas.microsoft.com/office/drawing/2014/chart" uri="{C3380CC4-5D6E-409C-BE32-E72D297353CC}">
              <c16:uniqueId val="{00000000-7AB5-4089-AA86-C729E522924C}"/>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6.8546195239108584E-2"/>
          <c:y val="8.9071245612370759E-2"/>
          <c:w val="0.15320984070539567"/>
          <c:h val="0.3096351946832334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retail.1.xlsx]monthly sales!PivotTable7</c:name>
    <c:fmtId val="3"/>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monthly</a:t>
            </a:r>
            <a:r>
              <a:rPr lang="en-US" b="1" baseline="0">
                <a:solidFill>
                  <a:schemeClr val="tx1"/>
                </a:solidFill>
              </a:rPr>
              <a:t> sales trend</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2193928779036839E-2"/>
          <c:y val="0.21693972179289026"/>
          <c:w val="0.90671307026219039"/>
          <c:h val="0.52403996641069017"/>
        </c:manualLayout>
      </c:layout>
      <c:lineChart>
        <c:grouping val="standard"/>
        <c:varyColors val="0"/>
        <c:ser>
          <c:idx val="0"/>
          <c:order val="0"/>
          <c:tx>
            <c:strRef>
              <c:f>'monthly sales'!$B$3</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'monthly sales'!$A$4:$A$12</c:f>
              <c:multiLvlStrCache>
                <c:ptCount val="7"/>
                <c:lvl>
                  <c:pt idx="0">
                    <c:v>Jan</c:v>
                  </c:pt>
                  <c:pt idx="1">
                    <c:v>Feb</c:v>
                  </c:pt>
                  <c:pt idx="2">
                    <c:v>Mar</c:v>
                  </c:pt>
                  <c:pt idx="3">
                    <c:v>Apr</c:v>
                  </c:pt>
                  <c:pt idx="4">
                    <c:v>May</c:v>
                  </c:pt>
                  <c:pt idx="5">
                    <c:v>Jun</c:v>
                  </c:pt>
                  <c:pt idx="6">
                    <c:v>Jul</c:v>
                  </c:pt>
                </c:lvl>
                <c:lvl>
                  <c:pt idx="0">
                    <c:v>2025</c:v>
                  </c:pt>
                </c:lvl>
              </c:multiLvlStrCache>
            </c:multiLvlStrRef>
          </c:cat>
          <c:val>
            <c:numRef>
              <c:f>'monthly sales'!$B$4:$B$12</c:f>
              <c:numCache>
                <c:formatCode>General</c:formatCode>
                <c:ptCount val="7"/>
                <c:pt idx="0">
                  <c:v>17490</c:v>
                </c:pt>
                <c:pt idx="1">
                  <c:v>17430</c:v>
                </c:pt>
                <c:pt idx="2">
                  <c:v>21430</c:v>
                </c:pt>
                <c:pt idx="3">
                  <c:v>20030</c:v>
                </c:pt>
                <c:pt idx="4">
                  <c:v>20380</c:v>
                </c:pt>
                <c:pt idx="5">
                  <c:v>22100</c:v>
                </c:pt>
                <c:pt idx="6">
                  <c:v>17990</c:v>
                </c:pt>
              </c:numCache>
            </c:numRef>
          </c:val>
          <c:smooth val="0"/>
          <c:extLst>
            <c:ext xmlns:c16="http://schemas.microsoft.com/office/drawing/2014/chart" uri="{C3380CC4-5D6E-409C-BE32-E72D297353CC}">
              <c16:uniqueId val="{00000000-AB05-47C6-89B7-8D3EA357B94B}"/>
            </c:ext>
          </c:extLst>
        </c:ser>
        <c:dLbls>
          <c:dLblPos val="t"/>
          <c:showLegendKey val="0"/>
          <c:showVal val="1"/>
          <c:showCatName val="0"/>
          <c:showSerName val="0"/>
          <c:showPercent val="0"/>
          <c:showBubbleSize val="0"/>
        </c:dLbls>
        <c:smooth val="0"/>
        <c:axId val="955158831"/>
        <c:axId val="971435311"/>
      </c:lineChart>
      <c:catAx>
        <c:axId val="9551588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971435311"/>
        <c:crosses val="autoZero"/>
        <c:auto val="1"/>
        <c:lblAlgn val="ctr"/>
        <c:lblOffset val="100"/>
        <c:noMultiLvlLbl val="0"/>
      </c:catAx>
      <c:valAx>
        <c:axId val="97143531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9551588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retail.1.xlsx]category!PivotTable5</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b="1"/>
              <a:t>category</a:t>
            </a:r>
            <a:r>
              <a:rPr lang="en-US" b="1" baseline="0"/>
              <a:t> wise sales</a:t>
            </a:r>
            <a:endParaRPr lang="en-US" b="1"/>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category!$B$3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category!$A$4:$A$9</c:f>
              <c:strCache>
                <c:ptCount val="5"/>
                <c:pt idx="0">
                  <c:v>Beverages</c:v>
                </c:pt>
                <c:pt idx="1">
                  <c:v>Grocery</c:v>
                </c:pt>
                <c:pt idx="2">
                  <c:v>Household</c:v>
                </c:pt>
                <c:pt idx="3">
                  <c:v>Personal Care</c:v>
                </c:pt>
                <c:pt idx="4">
                  <c:v>Snacks</c:v>
                </c:pt>
              </c:strCache>
            </c:strRef>
          </c:cat>
          <c:val>
            <c:numRef>
              <c:f>category!$B$4:$B$9</c:f>
              <c:numCache>
                <c:formatCode>General</c:formatCode>
                <c:ptCount val="5"/>
                <c:pt idx="0">
                  <c:v>27410</c:v>
                </c:pt>
                <c:pt idx="1">
                  <c:v>41140</c:v>
                </c:pt>
                <c:pt idx="2">
                  <c:v>27660</c:v>
                </c:pt>
                <c:pt idx="3">
                  <c:v>20840</c:v>
                </c:pt>
                <c:pt idx="4">
                  <c:v>19800</c:v>
                </c:pt>
              </c:numCache>
            </c:numRef>
          </c:val>
          <c:extLst>
            <c:ext xmlns:c16="http://schemas.microsoft.com/office/drawing/2014/chart" uri="{C3380CC4-5D6E-409C-BE32-E72D297353CC}">
              <c16:uniqueId val="{00000000-CB93-43ED-A096-6F8037325428}"/>
            </c:ext>
          </c:extLst>
        </c:ser>
        <c:dLbls>
          <c:showLegendKey val="0"/>
          <c:showVal val="1"/>
          <c:showCatName val="0"/>
          <c:showSerName val="0"/>
          <c:showPercent val="0"/>
          <c:showBubbleSize val="0"/>
        </c:dLbls>
        <c:gapWidth val="150"/>
        <c:shape val="box"/>
        <c:axId val="722453567"/>
        <c:axId val="818637967"/>
        <c:axId val="0"/>
      </c:bar3DChart>
      <c:catAx>
        <c:axId val="72245356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18637967"/>
        <c:crosses val="autoZero"/>
        <c:auto val="1"/>
        <c:lblAlgn val="ctr"/>
        <c:lblOffset val="100"/>
        <c:noMultiLvlLbl val="0"/>
      </c:catAx>
      <c:valAx>
        <c:axId val="818637967"/>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224535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retail.1.xlsx]region!PivotTable6</c:name>
    <c:fmtId val="5"/>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b="1">
                <a:solidFill>
                  <a:schemeClr val="tx1"/>
                </a:solidFill>
              </a:rPr>
              <a:t>sales</a:t>
            </a:r>
            <a:r>
              <a:rPr lang="en-US" sz="1600" b="1" baseline="0">
                <a:solidFill>
                  <a:schemeClr val="tx1"/>
                </a:solidFill>
              </a:rPr>
              <a:t> by region</a:t>
            </a:r>
            <a:endParaRPr lang="en-US" sz="1600" b="1">
              <a:solidFill>
                <a:schemeClr val="tx1"/>
              </a:solidFill>
            </a:endParaRP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region!$B$3</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region!$A$4:$A$8</c:f>
              <c:strCache>
                <c:ptCount val="4"/>
                <c:pt idx="0">
                  <c:v>Central</c:v>
                </c:pt>
                <c:pt idx="1">
                  <c:v>North</c:v>
                </c:pt>
                <c:pt idx="2">
                  <c:v>South</c:v>
                </c:pt>
                <c:pt idx="3">
                  <c:v>West</c:v>
                </c:pt>
              </c:strCache>
            </c:strRef>
          </c:cat>
          <c:val>
            <c:numRef>
              <c:f>region!$B$4:$B$8</c:f>
              <c:numCache>
                <c:formatCode>General</c:formatCode>
                <c:ptCount val="4"/>
                <c:pt idx="0">
                  <c:v>25810</c:v>
                </c:pt>
                <c:pt idx="1">
                  <c:v>51600</c:v>
                </c:pt>
                <c:pt idx="2">
                  <c:v>8390</c:v>
                </c:pt>
                <c:pt idx="3">
                  <c:v>51050</c:v>
                </c:pt>
              </c:numCache>
            </c:numRef>
          </c:val>
          <c:extLst>
            <c:ext xmlns:c16="http://schemas.microsoft.com/office/drawing/2014/chart" uri="{C3380CC4-5D6E-409C-BE32-E72D297353CC}">
              <c16:uniqueId val="{00000000-E27D-4667-9E16-D16E5152F9F7}"/>
            </c:ext>
          </c:extLst>
        </c:ser>
        <c:dLbls>
          <c:showLegendKey val="0"/>
          <c:showVal val="1"/>
          <c:showCatName val="0"/>
          <c:showSerName val="0"/>
          <c:showPercent val="0"/>
          <c:showBubbleSize val="0"/>
        </c:dLbls>
        <c:gapWidth val="150"/>
        <c:shape val="box"/>
        <c:axId val="945244639"/>
        <c:axId val="971451631"/>
        <c:axId val="0"/>
      </c:bar3DChart>
      <c:catAx>
        <c:axId val="94524463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1451631"/>
        <c:crosses val="autoZero"/>
        <c:auto val="1"/>
        <c:lblAlgn val="ctr"/>
        <c:lblOffset val="100"/>
        <c:noMultiLvlLbl val="0"/>
      </c:catAx>
      <c:valAx>
        <c:axId val="97145163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52446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retail.1.xlsx]top 10 product!PivotTable10</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Top</a:t>
            </a:r>
            <a:r>
              <a:rPr lang="en-US" b="1" baseline="0">
                <a:solidFill>
                  <a:schemeClr val="tx1"/>
                </a:solidFill>
              </a:rPr>
              <a:t> 10 product sales</a:t>
            </a:r>
            <a:endParaRPr lang="en-US" b="1">
              <a:solidFill>
                <a:schemeClr val="tx1"/>
              </a:solidFill>
            </a:endParaRPr>
          </a:p>
        </c:rich>
      </c:tx>
      <c:layout>
        <c:manualLayout>
          <c:xMode val="edge"/>
          <c:yMode val="edge"/>
          <c:x val="0.29031000734452661"/>
          <c:y val="2.2829873538534958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'top 10 product'!$B$3</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10 product'!$A$4:$A$15</c:f>
              <c:strCache>
                <c:ptCount val="11"/>
                <c:pt idx="0">
                  <c:v>Basmati Rice</c:v>
                </c:pt>
                <c:pt idx="1">
                  <c:v>Brown Rice</c:v>
                </c:pt>
                <c:pt idx="2">
                  <c:v>Jeera Rice</c:v>
                </c:pt>
                <c:pt idx="3">
                  <c:v>Laundry Detergent</c:v>
                </c:pt>
                <c:pt idx="4">
                  <c:v>Organic Rice</c:v>
                </c:pt>
                <c:pt idx="5">
                  <c:v>Parboiled Rice</c:v>
                </c:pt>
                <c:pt idx="6">
                  <c:v>Premium Coffee</c:v>
                </c:pt>
                <c:pt idx="7">
                  <c:v>Red Rice</c:v>
                </c:pt>
                <c:pt idx="8">
                  <c:v>Rice</c:v>
                </c:pt>
                <c:pt idx="9">
                  <c:v>Sona Masoori Rice</c:v>
                </c:pt>
                <c:pt idx="10">
                  <c:v>Sticky Rice</c:v>
                </c:pt>
              </c:strCache>
            </c:strRef>
          </c:cat>
          <c:val>
            <c:numRef>
              <c:f>'top 10 product'!$B$4:$B$15</c:f>
              <c:numCache>
                <c:formatCode>General</c:formatCode>
                <c:ptCount val="11"/>
                <c:pt idx="0">
                  <c:v>3000</c:v>
                </c:pt>
                <c:pt idx="1">
                  <c:v>1410</c:v>
                </c:pt>
                <c:pt idx="2">
                  <c:v>1320</c:v>
                </c:pt>
                <c:pt idx="3">
                  <c:v>1150</c:v>
                </c:pt>
                <c:pt idx="4">
                  <c:v>1680</c:v>
                </c:pt>
                <c:pt idx="5">
                  <c:v>1190</c:v>
                </c:pt>
                <c:pt idx="6">
                  <c:v>1150</c:v>
                </c:pt>
                <c:pt idx="7">
                  <c:v>1370</c:v>
                </c:pt>
                <c:pt idx="8">
                  <c:v>1250</c:v>
                </c:pt>
                <c:pt idx="9">
                  <c:v>1280</c:v>
                </c:pt>
                <c:pt idx="10">
                  <c:v>1290</c:v>
                </c:pt>
              </c:numCache>
            </c:numRef>
          </c:val>
          <c:extLst>
            <c:ext xmlns:c16="http://schemas.microsoft.com/office/drawing/2014/chart" uri="{C3380CC4-5D6E-409C-BE32-E72D297353CC}">
              <c16:uniqueId val="{00000000-A546-438F-AA94-8B33B53BE650}"/>
            </c:ext>
          </c:extLst>
        </c:ser>
        <c:dLbls>
          <c:showLegendKey val="0"/>
          <c:showVal val="1"/>
          <c:showCatName val="0"/>
          <c:showSerName val="0"/>
          <c:showPercent val="0"/>
          <c:showBubbleSize val="0"/>
        </c:dLbls>
        <c:gapWidth val="150"/>
        <c:shape val="box"/>
        <c:axId val="955185743"/>
        <c:axId val="971456911"/>
        <c:axId val="0"/>
      </c:bar3DChart>
      <c:catAx>
        <c:axId val="95518574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971456911"/>
        <c:crosses val="autoZero"/>
        <c:auto val="1"/>
        <c:lblAlgn val="ctr"/>
        <c:lblOffset val="100"/>
        <c:noMultiLvlLbl val="0"/>
      </c:catAx>
      <c:valAx>
        <c:axId val="97145691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9551857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retail.1.xlsx]segment!PivotTable8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sales</a:t>
            </a:r>
            <a:r>
              <a:rPr lang="en-US" b="1" baseline="0">
                <a:solidFill>
                  <a:schemeClr val="tx1"/>
                </a:solidFill>
              </a:rPr>
              <a:t> by segment</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doughnutChart>
        <c:varyColors val="1"/>
        <c:ser>
          <c:idx val="0"/>
          <c:order val="0"/>
          <c:tx>
            <c:strRef>
              <c:f>segment!$B$3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33F-4C2E-936D-01B30108509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33F-4C2E-936D-01B30108509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33F-4C2E-936D-01B301085096}"/>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segment!$A$4:$A$7</c:f>
              <c:strCache>
                <c:ptCount val="3"/>
                <c:pt idx="0">
                  <c:v>Consumer</c:v>
                </c:pt>
                <c:pt idx="1">
                  <c:v>Corporate</c:v>
                </c:pt>
                <c:pt idx="2">
                  <c:v>Home Office</c:v>
                </c:pt>
              </c:strCache>
            </c:strRef>
          </c:cat>
          <c:val>
            <c:numRef>
              <c:f>segment!$B$4:$B$7</c:f>
              <c:numCache>
                <c:formatCode>General</c:formatCode>
                <c:ptCount val="3"/>
                <c:pt idx="0">
                  <c:v>91380</c:v>
                </c:pt>
                <c:pt idx="1">
                  <c:v>31280</c:v>
                </c:pt>
                <c:pt idx="2">
                  <c:v>14190</c:v>
                </c:pt>
              </c:numCache>
            </c:numRef>
          </c:val>
          <c:extLst>
            <c:ext xmlns:c16="http://schemas.microsoft.com/office/drawing/2014/chart" uri="{C3380CC4-5D6E-409C-BE32-E72D297353CC}">
              <c16:uniqueId val="{00000006-F33F-4C2E-936D-01B301085096}"/>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4</xdr:col>
      <xdr:colOff>336550</xdr:colOff>
      <xdr:row>0</xdr:row>
      <xdr:rowOff>158750</xdr:rowOff>
    </xdr:from>
    <xdr:to>
      <xdr:col>9</xdr:col>
      <xdr:colOff>539750</xdr:colOff>
      <xdr:row>12</xdr:row>
      <xdr:rowOff>146050</xdr:rowOff>
    </xdr:to>
    <xdr:graphicFrame macro="">
      <xdr:nvGraphicFramePr>
        <xdr:cNvPr id="2" name="Chart 1">
          <a:extLst>
            <a:ext uri="{FF2B5EF4-FFF2-40B4-BE49-F238E27FC236}">
              <a16:creationId xmlns:a16="http://schemas.microsoft.com/office/drawing/2014/main" id="{A22EC0A2-E8D3-D867-56D0-D2A72B6C2D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12700</xdr:colOff>
      <xdr:row>1</xdr:row>
      <xdr:rowOff>44450</xdr:rowOff>
    </xdr:from>
    <xdr:to>
      <xdr:col>9</xdr:col>
      <xdr:colOff>374650</xdr:colOff>
      <xdr:row>10</xdr:row>
      <xdr:rowOff>180974</xdr:rowOff>
    </xdr:to>
    <xdr:graphicFrame macro="">
      <xdr:nvGraphicFramePr>
        <xdr:cNvPr id="2" name="Chart 1">
          <a:extLst>
            <a:ext uri="{FF2B5EF4-FFF2-40B4-BE49-F238E27FC236}">
              <a16:creationId xmlns:a16="http://schemas.microsoft.com/office/drawing/2014/main" id="{4890DAFE-A4B4-2F2A-6672-112E1AF53D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177800</xdr:colOff>
      <xdr:row>0</xdr:row>
      <xdr:rowOff>184149</xdr:rowOff>
    </xdr:from>
    <xdr:to>
      <xdr:col>10</xdr:col>
      <xdr:colOff>342900</xdr:colOff>
      <xdr:row>12</xdr:row>
      <xdr:rowOff>168274</xdr:rowOff>
    </xdr:to>
    <xdr:graphicFrame macro="">
      <xdr:nvGraphicFramePr>
        <xdr:cNvPr id="2" name="Chart 1">
          <a:extLst>
            <a:ext uri="{FF2B5EF4-FFF2-40B4-BE49-F238E27FC236}">
              <a16:creationId xmlns:a16="http://schemas.microsoft.com/office/drawing/2014/main" id="{6C3C7008-F120-1F20-3E28-AB2EE2CDDE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406400</xdr:colOff>
      <xdr:row>1</xdr:row>
      <xdr:rowOff>19050</xdr:rowOff>
    </xdr:from>
    <xdr:to>
      <xdr:col>9</xdr:col>
      <xdr:colOff>527050</xdr:colOff>
      <xdr:row>14</xdr:row>
      <xdr:rowOff>12700</xdr:rowOff>
    </xdr:to>
    <xdr:graphicFrame macro="">
      <xdr:nvGraphicFramePr>
        <xdr:cNvPr id="2" name="Chart 1">
          <a:extLst>
            <a:ext uri="{FF2B5EF4-FFF2-40B4-BE49-F238E27FC236}">
              <a16:creationId xmlns:a16="http://schemas.microsoft.com/office/drawing/2014/main" id="{94D608CF-D362-FE09-ABCE-C3E40AC80F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419100</xdr:colOff>
      <xdr:row>1</xdr:row>
      <xdr:rowOff>12700</xdr:rowOff>
    </xdr:from>
    <xdr:to>
      <xdr:col>10</xdr:col>
      <xdr:colOff>63500</xdr:colOff>
      <xdr:row>14</xdr:row>
      <xdr:rowOff>12700</xdr:rowOff>
    </xdr:to>
    <xdr:graphicFrame macro="">
      <xdr:nvGraphicFramePr>
        <xdr:cNvPr id="2" name="Chart 1">
          <a:extLst>
            <a:ext uri="{FF2B5EF4-FFF2-40B4-BE49-F238E27FC236}">
              <a16:creationId xmlns:a16="http://schemas.microsoft.com/office/drawing/2014/main" id="{9EA120EB-FBE4-7E5D-53CD-07F64705AD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xdr:col>
      <xdr:colOff>120650</xdr:colOff>
      <xdr:row>1</xdr:row>
      <xdr:rowOff>0</xdr:rowOff>
    </xdr:from>
    <xdr:to>
      <xdr:col>9</xdr:col>
      <xdr:colOff>292100</xdr:colOff>
      <xdr:row>13</xdr:row>
      <xdr:rowOff>12700</xdr:rowOff>
    </xdr:to>
    <xdr:graphicFrame macro="">
      <xdr:nvGraphicFramePr>
        <xdr:cNvPr id="2" name="Chart 1">
          <a:extLst>
            <a:ext uri="{FF2B5EF4-FFF2-40B4-BE49-F238E27FC236}">
              <a16:creationId xmlns:a16="http://schemas.microsoft.com/office/drawing/2014/main" id="{594C0BEC-C21E-2A7B-8A14-288FE639DF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317500</xdr:colOff>
      <xdr:row>1</xdr:row>
      <xdr:rowOff>19050</xdr:rowOff>
    </xdr:from>
    <xdr:to>
      <xdr:col>7</xdr:col>
      <xdr:colOff>25400</xdr:colOff>
      <xdr:row>14</xdr:row>
      <xdr:rowOff>0</xdr:rowOff>
    </xdr:to>
    <xdr:graphicFrame macro="">
      <xdr:nvGraphicFramePr>
        <xdr:cNvPr id="2" name="Chart 1">
          <a:extLst>
            <a:ext uri="{FF2B5EF4-FFF2-40B4-BE49-F238E27FC236}">
              <a16:creationId xmlns:a16="http://schemas.microsoft.com/office/drawing/2014/main" id="{BF628806-3876-9CE8-B5F5-8EE4F836E0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17</xdr:col>
      <xdr:colOff>444500</xdr:colOff>
      <xdr:row>0</xdr:row>
      <xdr:rowOff>120650</xdr:rowOff>
    </xdr:from>
    <xdr:to>
      <xdr:col>20</xdr:col>
      <xdr:colOff>444500</xdr:colOff>
      <xdr:row>13</xdr:row>
      <xdr:rowOff>95250</xdr:rowOff>
    </xdr:to>
    <mc:AlternateContent xmlns:mc="http://schemas.openxmlformats.org/markup-compatibility/2006">
      <mc:Choice xmlns:a14="http://schemas.microsoft.com/office/drawing/2010/main" Requires="a14">
        <xdr:graphicFrame macro="">
          <xdr:nvGraphicFramePr>
            <xdr:cNvPr id="3" name="Category">
              <a:extLst>
                <a:ext uri="{FF2B5EF4-FFF2-40B4-BE49-F238E27FC236}">
                  <a16:creationId xmlns:a16="http://schemas.microsoft.com/office/drawing/2014/main" id="{3ABC6E97-F793-8CA8-32D8-237937C47709}"/>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1239500" y="120650"/>
              <a:ext cx="1828800" cy="23685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228600</xdr:colOff>
      <xdr:row>0</xdr:row>
      <xdr:rowOff>165101</xdr:rowOff>
    </xdr:from>
    <xdr:to>
      <xdr:col>10</xdr:col>
      <xdr:colOff>228600</xdr:colOff>
      <xdr:row>13</xdr:row>
      <xdr:rowOff>133351</xdr:rowOff>
    </xdr:to>
    <mc:AlternateContent xmlns:mc="http://schemas.openxmlformats.org/markup-compatibility/2006">
      <mc:Choice xmlns:a14="http://schemas.microsoft.com/office/drawing/2010/main" Requires="a14">
        <xdr:graphicFrame macro="">
          <xdr:nvGraphicFramePr>
            <xdr:cNvPr id="4" name="Region">
              <a:extLst>
                <a:ext uri="{FF2B5EF4-FFF2-40B4-BE49-F238E27FC236}">
                  <a16:creationId xmlns:a16="http://schemas.microsoft.com/office/drawing/2014/main" id="{74673FC1-2D12-D38A-15AC-C43B03E0546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4927600" y="165101"/>
              <a:ext cx="1828800" cy="23622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19050</xdr:colOff>
      <xdr:row>0</xdr:row>
      <xdr:rowOff>158751</xdr:rowOff>
    </xdr:from>
    <xdr:to>
      <xdr:col>14</xdr:col>
      <xdr:colOff>19050</xdr:colOff>
      <xdr:row>13</xdr:row>
      <xdr:rowOff>158751</xdr:rowOff>
    </xdr:to>
    <mc:AlternateContent xmlns:mc="http://schemas.openxmlformats.org/markup-compatibility/2006">
      <mc:Choice xmlns:a14="http://schemas.microsoft.com/office/drawing/2010/main" Requires="a14">
        <xdr:graphicFrame macro="">
          <xdr:nvGraphicFramePr>
            <xdr:cNvPr id="5" name="Segment">
              <a:extLst>
                <a:ext uri="{FF2B5EF4-FFF2-40B4-BE49-F238E27FC236}">
                  <a16:creationId xmlns:a16="http://schemas.microsoft.com/office/drawing/2014/main" id="{C297D975-FE0E-B030-AFF7-F05AE656E3BF}"/>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7156450" y="158751"/>
              <a:ext cx="1828800" cy="23939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209550</xdr:colOff>
      <xdr:row>0</xdr:row>
      <xdr:rowOff>146051</xdr:rowOff>
    </xdr:from>
    <xdr:to>
      <xdr:col>17</xdr:col>
      <xdr:colOff>209550</xdr:colOff>
      <xdr:row>13</xdr:row>
      <xdr:rowOff>133351</xdr:rowOff>
    </xdr:to>
    <mc:AlternateContent xmlns:mc="http://schemas.openxmlformats.org/markup-compatibility/2006">
      <mc:Choice xmlns:a14="http://schemas.microsoft.com/office/drawing/2010/main" Requires="a14">
        <xdr:graphicFrame macro="">
          <xdr:nvGraphicFramePr>
            <xdr:cNvPr id="6" name="Payment Mode">
              <a:extLst>
                <a:ext uri="{FF2B5EF4-FFF2-40B4-BE49-F238E27FC236}">
                  <a16:creationId xmlns:a16="http://schemas.microsoft.com/office/drawing/2014/main" id="{46DB4FF5-8227-48C3-47F0-20E1380034FE}"/>
                </a:ext>
              </a:extLst>
            </xdr:cNvPr>
            <xdr:cNvGraphicFramePr/>
          </xdr:nvGraphicFramePr>
          <xdr:xfrm>
            <a:off x="0" y="0"/>
            <a:ext cx="0" cy="0"/>
          </xdr:xfrm>
          <a:graphic>
            <a:graphicData uri="http://schemas.microsoft.com/office/drawing/2010/slicer">
              <sle:slicer xmlns:sle="http://schemas.microsoft.com/office/drawing/2010/slicer" name="Payment Mode"/>
            </a:graphicData>
          </a:graphic>
        </xdr:graphicFrame>
      </mc:Choice>
      <mc:Fallback>
        <xdr:sp macro="" textlink="">
          <xdr:nvSpPr>
            <xdr:cNvPr id="0" name=""/>
            <xdr:cNvSpPr>
              <a:spLocks noTextEdit="1"/>
            </xdr:cNvSpPr>
          </xdr:nvSpPr>
          <xdr:spPr>
            <a:xfrm>
              <a:off x="9175750" y="146051"/>
              <a:ext cx="1828800" cy="23812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xdr:from>
      <xdr:col>3</xdr:col>
      <xdr:colOff>12700</xdr:colOff>
      <xdr:row>4</xdr:row>
      <xdr:rowOff>120650</xdr:rowOff>
    </xdr:from>
    <xdr:to>
      <xdr:col>10</xdr:col>
      <xdr:colOff>323850</xdr:colOff>
      <xdr:row>15</xdr:row>
      <xdr:rowOff>149225</xdr:rowOff>
    </xdr:to>
    <xdr:graphicFrame macro="">
      <xdr:nvGraphicFramePr>
        <xdr:cNvPr id="2" name="Chart 1">
          <a:extLst>
            <a:ext uri="{FF2B5EF4-FFF2-40B4-BE49-F238E27FC236}">
              <a16:creationId xmlns:a16="http://schemas.microsoft.com/office/drawing/2014/main" id="{A659B452-839E-40B6-87DA-EF84E69352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16</xdr:row>
      <xdr:rowOff>69850</xdr:rowOff>
    </xdr:from>
    <xdr:to>
      <xdr:col>3</xdr:col>
      <xdr:colOff>565150</xdr:colOff>
      <xdr:row>27</xdr:row>
      <xdr:rowOff>165100</xdr:rowOff>
    </xdr:to>
    <xdr:graphicFrame macro="">
      <xdr:nvGraphicFramePr>
        <xdr:cNvPr id="3" name="Chart 2">
          <a:extLst>
            <a:ext uri="{FF2B5EF4-FFF2-40B4-BE49-F238E27FC236}">
              <a16:creationId xmlns:a16="http://schemas.microsoft.com/office/drawing/2014/main" id="{E8628CF3-7971-4B2C-88DC-D364106DFB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38100</xdr:colOff>
      <xdr:row>16</xdr:row>
      <xdr:rowOff>69850</xdr:rowOff>
    </xdr:from>
    <xdr:to>
      <xdr:col>6</xdr:col>
      <xdr:colOff>76200</xdr:colOff>
      <xdr:row>27</xdr:row>
      <xdr:rowOff>139700</xdr:rowOff>
    </xdr:to>
    <xdr:graphicFrame macro="">
      <xdr:nvGraphicFramePr>
        <xdr:cNvPr id="4" name="Chart 3">
          <a:extLst>
            <a:ext uri="{FF2B5EF4-FFF2-40B4-BE49-F238E27FC236}">
              <a16:creationId xmlns:a16="http://schemas.microsoft.com/office/drawing/2014/main" id="{07BE0341-C12B-4910-ABB6-8D475D00ED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152400</xdr:colOff>
      <xdr:row>16</xdr:row>
      <xdr:rowOff>63500</xdr:rowOff>
    </xdr:from>
    <xdr:to>
      <xdr:col>10</xdr:col>
      <xdr:colOff>139700</xdr:colOff>
      <xdr:row>27</xdr:row>
      <xdr:rowOff>133350</xdr:rowOff>
    </xdr:to>
    <xdr:graphicFrame macro="">
      <xdr:nvGraphicFramePr>
        <xdr:cNvPr id="5" name="Chart 4">
          <a:extLst>
            <a:ext uri="{FF2B5EF4-FFF2-40B4-BE49-F238E27FC236}">
              <a16:creationId xmlns:a16="http://schemas.microsoft.com/office/drawing/2014/main" id="{CC7CCA71-F34A-4FC4-B65E-7704415442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222250</xdr:colOff>
      <xdr:row>16</xdr:row>
      <xdr:rowOff>57150</xdr:rowOff>
    </xdr:from>
    <xdr:to>
      <xdr:col>15</xdr:col>
      <xdr:colOff>88900</xdr:colOff>
      <xdr:row>27</xdr:row>
      <xdr:rowOff>146050</xdr:rowOff>
    </xdr:to>
    <xdr:graphicFrame macro="">
      <xdr:nvGraphicFramePr>
        <xdr:cNvPr id="6" name="Chart 5">
          <a:extLst>
            <a:ext uri="{FF2B5EF4-FFF2-40B4-BE49-F238E27FC236}">
              <a16:creationId xmlns:a16="http://schemas.microsoft.com/office/drawing/2014/main" id="{1732AD80-CB48-40F9-B9A5-6F8355EC71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139700</xdr:colOff>
      <xdr:row>28</xdr:row>
      <xdr:rowOff>171451</xdr:rowOff>
    </xdr:from>
    <xdr:to>
      <xdr:col>2</xdr:col>
      <xdr:colOff>184150</xdr:colOff>
      <xdr:row>39</xdr:row>
      <xdr:rowOff>6351</xdr:rowOff>
    </xdr:to>
    <mc:AlternateContent xmlns:mc="http://schemas.openxmlformats.org/markup-compatibility/2006" xmlns:a14="http://schemas.microsoft.com/office/drawing/2010/main">
      <mc:Choice Requires="a14">
        <xdr:graphicFrame macro="">
          <xdr:nvGraphicFramePr>
            <xdr:cNvPr id="7" name="Category 1">
              <a:extLst>
                <a:ext uri="{FF2B5EF4-FFF2-40B4-BE49-F238E27FC236}">
                  <a16:creationId xmlns:a16="http://schemas.microsoft.com/office/drawing/2014/main" id="{DB71F0A1-6197-49C6-BBA7-FD375369B783}"/>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39700" y="5441951"/>
              <a:ext cx="1447800" cy="18605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266700</xdr:colOff>
      <xdr:row>29</xdr:row>
      <xdr:rowOff>31749</xdr:rowOff>
    </xdr:from>
    <xdr:to>
      <xdr:col>4</xdr:col>
      <xdr:colOff>463550</xdr:colOff>
      <xdr:row>39</xdr:row>
      <xdr:rowOff>19050</xdr:rowOff>
    </xdr:to>
    <mc:AlternateContent xmlns:mc="http://schemas.openxmlformats.org/markup-compatibility/2006" xmlns:a14="http://schemas.microsoft.com/office/drawing/2010/main">
      <mc:Choice Requires="a14">
        <xdr:graphicFrame macro="">
          <xdr:nvGraphicFramePr>
            <xdr:cNvPr id="8" name="Payment Mode 1">
              <a:extLst>
                <a:ext uri="{FF2B5EF4-FFF2-40B4-BE49-F238E27FC236}">
                  <a16:creationId xmlns:a16="http://schemas.microsoft.com/office/drawing/2014/main" id="{DC63B07F-B132-4E74-8445-68EE79033C4F}"/>
                </a:ext>
              </a:extLst>
            </xdr:cNvPr>
            <xdr:cNvGraphicFramePr/>
          </xdr:nvGraphicFramePr>
          <xdr:xfrm>
            <a:off x="0" y="0"/>
            <a:ext cx="0" cy="0"/>
          </xdr:xfrm>
          <a:graphic>
            <a:graphicData uri="http://schemas.microsoft.com/office/drawing/2010/slicer">
              <sle:slicer xmlns:sle="http://schemas.microsoft.com/office/drawing/2010/slicer" name="Payment Mode 1"/>
            </a:graphicData>
          </a:graphic>
        </xdr:graphicFrame>
      </mc:Choice>
      <mc:Fallback xmlns="">
        <xdr:sp macro="" textlink="">
          <xdr:nvSpPr>
            <xdr:cNvPr id="0" name=""/>
            <xdr:cNvSpPr>
              <a:spLocks noTextEdit="1"/>
            </xdr:cNvSpPr>
          </xdr:nvSpPr>
          <xdr:spPr>
            <a:xfrm>
              <a:off x="1670050" y="5486399"/>
              <a:ext cx="1606550" cy="18288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577850</xdr:colOff>
      <xdr:row>29</xdr:row>
      <xdr:rowOff>6351</xdr:rowOff>
    </xdr:from>
    <xdr:to>
      <xdr:col>5</xdr:col>
      <xdr:colOff>254000</xdr:colOff>
      <xdr:row>39</xdr:row>
      <xdr:rowOff>6351</xdr:rowOff>
    </xdr:to>
    <mc:AlternateContent xmlns:mc="http://schemas.openxmlformats.org/markup-compatibility/2006" xmlns:a14="http://schemas.microsoft.com/office/drawing/2010/main">
      <mc:Choice Requires="a14">
        <xdr:graphicFrame macro="">
          <xdr:nvGraphicFramePr>
            <xdr:cNvPr id="9" name="Region 1">
              <a:extLst>
                <a:ext uri="{FF2B5EF4-FFF2-40B4-BE49-F238E27FC236}">
                  <a16:creationId xmlns:a16="http://schemas.microsoft.com/office/drawing/2014/main" id="{7494051F-03E4-4D24-AC8A-6357B8990234}"/>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3390900" y="5461001"/>
              <a:ext cx="1828800" cy="1841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488950</xdr:colOff>
      <xdr:row>29</xdr:row>
      <xdr:rowOff>50799</xdr:rowOff>
    </xdr:from>
    <xdr:to>
      <xdr:col>8</xdr:col>
      <xdr:colOff>488950</xdr:colOff>
      <xdr:row>38</xdr:row>
      <xdr:rowOff>139700</xdr:rowOff>
    </xdr:to>
    <mc:AlternateContent xmlns:mc="http://schemas.openxmlformats.org/markup-compatibility/2006" xmlns:a14="http://schemas.microsoft.com/office/drawing/2010/main">
      <mc:Choice Requires="a14">
        <xdr:graphicFrame macro="">
          <xdr:nvGraphicFramePr>
            <xdr:cNvPr id="10" name="Segment 1">
              <a:extLst>
                <a:ext uri="{FF2B5EF4-FFF2-40B4-BE49-F238E27FC236}">
                  <a16:creationId xmlns:a16="http://schemas.microsoft.com/office/drawing/2014/main" id="{580059FD-24C0-4E31-A47C-771B0D3178EB}"/>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mlns="">
        <xdr:sp macro="" textlink="">
          <xdr:nvSpPr>
            <xdr:cNvPr id="0" name=""/>
            <xdr:cNvSpPr>
              <a:spLocks noTextEdit="1"/>
            </xdr:cNvSpPr>
          </xdr:nvSpPr>
          <xdr:spPr>
            <a:xfrm>
              <a:off x="5454650" y="5505449"/>
              <a:ext cx="1828800" cy="17462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299.522589930559" createdVersion="8" refreshedVersion="8" minRefreshableVersion="3" recordCount="200" xr:uid="{78DDB3A6-1106-4DAD-85F8-83D6BF828C5A}">
  <cacheSource type="worksheet">
    <worksheetSource name="Table1"/>
  </cacheSource>
  <cacheFields count="17">
    <cacheField name="Order ID" numFmtId="0">
      <sharedItems/>
    </cacheField>
    <cacheField name="Order Date" numFmtId="14">
      <sharedItems containsSemiMixedTypes="0" containsNonDate="0" containsDate="1" containsString="0" minDate="2025-01-05T00:00:00" maxDate="2025-07-24T00:00:00" count="2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d v="2025-03-30T00:00:00"/>
        <d v="2025-03-31T00:00:00"/>
        <d v="2025-04-01T00:00:00"/>
        <d v="2025-04-02T00:00:00"/>
        <d v="2025-04-03T00:00:00"/>
        <d v="2025-04-04T00:00:00"/>
        <d v="2025-04-05T00:00:00"/>
        <d v="2025-04-06T00:00:00"/>
        <d v="2025-04-07T00:00:00"/>
        <d v="2025-04-08T00:00:00"/>
        <d v="2025-04-09T00:00:00"/>
        <d v="2025-04-10T00:00:00"/>
        <d v="2025-04-11T00:00:00"/>
        <d v="2025-04-12T00:00:00"/>
        <d v="2025-04-13T00:00:00"/>
        <d v="2025-04-14T00:00:00"/>
        <d v="2025-04-15T00:00:00"/>
        <d v="2025-04-16T00:00:00"/>
        <d v="2025-04-17T00:00:00"/>
        <d v="2025-04-18T00:00:00"/>
        <d v="2025-04-19T00:00:00"/>
        <d v="2025-04-20T00:00:00"/>
        <d v="2025-04-21T00:00:00"/>
        <d v="2025-04-22T00:00:00"/>
        <d v="2025-04-23T00:00:00"/>
        <d v="2025-04-24T00:00:00"/>
        <d v="2025-04-25T00:00:00"/>
        <d v="2025-04-26T00:00:00"/>
        <d v="2025-04-27T00:00:00"/>
        <d v="2025-04-28T00:00:00"/>
        <d v="2025-04-29T00:00:00"/>
        <d v="2025-04-30T00:00:00"/>
        <d v="2025-05-01T00:00:00"/>
        <d v="2025-05-02T00:00:00"/>
        <d v="2025-05-03T00:00:00"/>
        <d v="2025-05-04T00:00:00"/>
        <d v="2025-05-05T00:00:00"/>
        <d v="2025-05-06T00:00:00"/>
        <d v="2025-05-07T00:00:00"/>
        <d v="2025-05-08T00:00:00"/>
        <d v="2025-05-09T00:00:00"/>
        <d v="2025-05-10T00:00:00"/>
        <d v="2025-05-11T00:00:00"/>
        <d v="2025-05-12T00:00:00"/>
        <d v="2025-05-13T00:00:00"/>
        <d v="2025-05-14T00:00:00"/>
        <d v="2025-05-15T00:00:00"/>
        <d v="2025-05-16T00:00:00"/>
        <d v="2025-05-17T00:00:00"/>
        <d v="2025-05-18T00:00:00"/>
        <d v="2025-05-19T00:00:00"/>
        <d v="2025-05-20T00:00:00"/>
        <d v="2025-05-21T00:00:00"/>
        <d v="2025-05-22T00:00:00"/>
        <d v="2025-05-23T00:00:00"/>
        <d v="2025-05-24T00:00:00"/>
        <d v="2025-05-25T00:00:00"/>
        <d v="2025-05-26T00:00:00"/>
        <d v="2025-05-27T00:00:00"/>
        <d v="2025-05-28T00:00:00"/>
        <d v="2025-05-29T00:00:00"/>
        <d v="2025-05-30T00:00:00"/>
        <d v="2025-05-31T00:00:00"/>
        <d v="2025-06-01T00:00:00"/>
        <d v="2025-06-02T00:00:00"/>
        <d v="2025-06-03T00:00:00"/>
        <d v="2025-06-04T00:00:00"/>
        <d v="2025-06-05T00:00:00"/>
        <d v="2025-06-06T00:00:00"/>
        <d v="2025-06-07T00:00:00"/>
        <d v="2025-06-08T00:00:00"/>
        <d v="2025-06-09T00:00:00"/>
        <d v="2025-06-10T00:00:00"/>
        <d v="2025-06-11T00:00:00"/>
        <d v="2025-06-12T00:00:00"/>
        <d v="2025-06-13T00:00:00"/>
        <d v="2025-06-14T00:00:00"/>
        <d v="2025-06-15T00:00:00"/>
        <d v="2025-06-16T00:00:00"/>
        <d v="2025-06-17T00:00:00"/>
        <d v="2025-06-18T00:00:00"/>
        <d v="2025-06-19T00:00:00"/>
        <d v="2025-06-20T00:00:00"/>
        <d v="2025-06-21T00:00:00"/>
        <d v="2025-06-22T00:00:00"/>
        <d v="2025-06-23T00:00:00"/>
        <d v="2025-06-24T00:00:00"/>
        <d v="2025-06-25T00:00:00"/>
        <d v="2025-06-26T00:00:00"/>
        <d v="2025-06-27T00:00:00"/>
        <d v="2025-06-28T00:00:00"/>
        <d v="2025-06-29T00:00:00"/>
        <d v="2025-06-30T00:00:00"/>
        <d v="2025-07-01T00:00:00"/>
        <d v="2025-07-02T00:00:00"/>
        <d v="2025-07-03T00:00:00"/>
        <d v="2025-07-04T00:00:00"/>
        <d v="2025-07-05T00:00:00"/>
        <d v="2025-07-06T00:00:00"/>
        <d v="2025-07-07T00:00:00"/>
        <d v="2025-07-08T00:00:00"/>
        <d v="2025-07-09T00:00:00"/>
        <d v="2025-07-10T00:00:00"/>
        <d v="2025-07-11T00:00:00"/>
        <d v="2025-07-12T00:00:00"/>
        <d v="2025-07-13T00:00:00"/>
        <d v="2025-07-14T00:00:00"/>
        <d v="2025-07-15T00:00:00"/>
        <d v="2025-07-16T00:00:00"/>
        <d v="2025-07-17T00:00:00"/>
        <d v="2025-07-18T00:00:00"/>
        <d v="2025-07-19T00:00:00"/>
        <d v="2025-07-20T00:00:00"/>
        <d v="2025-07-21T00:00:00"/>
        <d v="2025-07-22T00:00:00"/>
        <d v="2025-07-23T00:00:00"/>
      </sharedItems>
      <fieldGroup par="16"/>
    </cacheField>
    <cacheField name="Customer Name" numFmtId="0">
      <sharedItems/>
    </cacheField>
    <cacheField name="Category" numFmtId="0">
      <sharedItems count="5">
        <s v="Grocery"/>
        <s v="Beverages"/>
        <s v="Snacks"/>
        <s v="Household"/>
        <s v="Personal Care"/>
      </sharedItems>
    </cacheField>
    <cacheField name="Sub-Category" numFmtId="0">
      <sharedItems/>
    </cacheField>
    <cacheField name="Product Name" numFmtId="0">
      <sharedItems count="198">
        <s v="Rice"/>
        <s v="Cola"/>
        <s v="Potato Chips"/>
        <s v="Floor Cleaner"/>
        <s v="Toor Dal"/>
        <s v="Mango Juice"/>
        <s v="Bathing Soap"/>
        <s v="Wheat Flour"/>
        <s v="Marie Biscuits"/>
        <s v="Dishwash Liquid"/>
        <s v="Tea Pack"/>
        <s v="Sugar"/>
        <s v="Hair Shampoo"/>
        <s v="Mixture"/>
        <s v="Laundry Detergent"/>
        <s v="Coffee Powder"/>
        <s v="Moong Dal"/>
        <s v="Face Wash"/>
        <s v="Dark Chocolate"/>
        <s v="Aluminium Foil"/>
        <s v="Basmati Rice"/>
        <s v="Orange Soda"/>
        <s v="Banana Chips"/>
        <s v="Glass Cleaner"/>
        <s v="Chana Dal"/>
        <s v="Apple Juice"/>
        <s v="Hand Wash"/>
        <s v="Maida"/>
        <s v="Cream Biscuits"/>
        <s v="Kitchen Towels"/>
        <s v="Green Tea"/>
        <s v="Sooji"/>
        <s v="Conditioner"/>
        <s v="Bhujia"/>
        <s v="Fabric Softener"/>
        <s v="Instant Coffee"/>
        <s v="Masoor Dal"/>
        <s v="Body Lotion"/>
        <s v="Milk Chocolate"/>
        <s v="Storage Box"/>
        <s v="Organic Rice"/>
        <s v="Lemon Soda"/>
        <s v="Nachos"/>
        <s v="Toilet Cleaner"/>
        <s v="Urad Dal"/>
        <s v="Grape Juice"/>
        <s v="Liquid Soap"/>
        <s v="Corn Flour"/>
        <s v="Butter Biscuits"/>
        <s v="Cling Film"/>
        <s v="Masala Tea"/>
        <s v="Rava"/>
        <s v="Anti Dandruff Shampoo"/>
        <s v="Sev"/>
        <s v="Detergent Powder"/>
        <s v="Filter Coffee"/>
        <s v="Arhar Dal"/>
        <s v="Moisturizer"/>
        <s v="Wafer Chocolate"/>
        <s v="Plastic Containers"/>
        <s v="Jeera Rice"/>
        <s v="Ginger Ale"/>
        <s v="Corn Chips"/>
        <s v="Bathroom Cleaner"/>
        <s v="Kabuli Chana"/>
        <s v="Pineapple Juice"/>
        <s v="Beauty Soap"/>
        <s v="Besan"/>
        <s v="Oat Biscuits"/>
        <s v="Food Containers"/>
        <s v="Assam Tea"/>
        <s v="Atta"/>
        <s v="Hair Conditioner"/>
        <s v="Aloo Bhujia"/>
        <s v="Liquid Detergent"/>
        <s v="Cold Coffee"/>
        <s v="Chole"/>
        <s v="Sunscreen"/>
        <s v="White Chocolate"/>
        <s v="Lunch Box"/>
        <s v="Sona Masoori Rice"/>
        <s v="Cola Zero"/>
        <s v="Peri Peri Chips"/>
        <s v="Multi Purpose Cleaner"/>
        <s v="Rajma"/>
        <s v="Mixed Fruit Juice"/>
        <s v="Hand Soap"/>
        <s v="Gram Flour"/>
        <s v="Digestive Biscuits"/>
        <s v="Kitchen Mat"/>
        <s v="Darjeeling Tea"/>
        <s v="Multigrain Flour"/>
        <s v="Hair Serum"/>
        <s v="Chakli"/>
        <s v="Arabica Coffee"/>
        <s v="Black Gram"/>
        <s v="Face Cream"/>
        <s v="Cashew Chocolate"/>
        <s v="Steel Container"/>
        <s v="Soda"/>
        <s v="Cheese Chips"/>
        <s v="Kitchen Cleaner"/>
        <s v="Mixed Dal"/>
        <s v="Guava Juice"/>
        <s v="Moisturizing Soap"/>
        <s v="Rice Flour"/>
        <s v="Chocolate Biscuits"/>
        <s v="Water Bottle"/>
        <s v="Lemon Tea"/>
        <s v="Bajra Flour"/>
        <s v="Herbal Shampoo"/>
        <s v="Peanut Mixture"/>
        <s v="Detergent Bar"/>
        <s v="Mocha Coffee"/>
        <s v="Green Gram"/>
        <s v="Body Wash"/>
        <s v="Hazelnut Chocolate"/>
        <s v="Spice Box"/>
        <s v="Parboiled Rice"/>
        <s v="Mango Soda"/>
        <s v="Masala Chips"/>
        <s v="Disinfectant"/>
        <s v="White Chana"/>
        <s v="Watermelon Juice"/>
        <s v="Neem Soap"/>
        <s v="Ragi Flour"/>
        <s v="Coconut Biscuits"/>
        <s v="Serving Bowl"/>
        <s v="Cardamom Tea"/>
        <s v="Jowar Flour"/>
        <s v="Kids Shampoo"/>
        <s v="Mathri"/>
        <s v="Liquid Bleach"/>
        <s v="Hazelnut Coffee"/>
        <s v="Soya Beans"/>
        <s v="Hand Cream"/>
        <s v="Almond Chocolate"/>
        <s v="Cutting Board"/>
        <s v="Red Rice"/>
        <s v="Jeera Soda"/>
        <s v="Spicy Chips"/>
        <s v="Phenyl"/>
        <s v="Moth Dal"/>
        <s v="Pomegranate Juice"/>
        <s v="Charcoal Soap"/>
        <s v="Oats"/>
        <s v="Cashew Biscuits"/>
        <s v="Glass Jar"/>
        <s v="Ginger Tea"/>
        <s v="Barley Flour"/>
        <s v="Protein Shampoo"/>
        <s v="Chivda"/>
        <s v="Washing Powder"/>
        <s v="Classic Coffee"/>
        <s v="Toor Dal Premium"/>
        <s v="Night Cream"/>
        <s v="Caramel Chocolate"/>
        <s v="Steel Bottle"/>
        <s v="Brown Rice"/>
        <s v="Apple Soda"/>
        <s v="Classic Chips"/>
        <s v="Floor Disinfectant"/>
        <s v="Masoor Dal Premium"/>
        <s v="Orange Juice"/>
        <s v="Herbal Soap"/>
        <s v="Quinoa"/>
        <s v="Almond Biscuits"/>
        <s v="Spice Rack"/>
        <s v="Darjeeling Premium Tea"/>
        <s v="Multigrain Atta"/>
        <s v="Organic Shampoo"/>
        <s v="Spicy Mixture"/>
        <s v="Kitchen Degreaser"/>
        <s v="Cold Brew Coffee"/>
        <s v="Chickpeas"/>
        <s v="Aloe Vera Gel"/>
        <s v="Fruit Chocolate"/>
        <s v="Serving Tray"/>
        <s v="Sticky Rice"/>
        <s v="Grape Soda"/>
        <s v="Tomato Chips"/>
        <s v="Bathroom Disinfectant"/>
        <s v="Moong Dal Premium"/>
        <s v="Kiwi Juice"/>
        <s v="Lavender Soap"/>
        <s v="Chia Seeds"/>
        <s v="Honey Biscuits"/>
        <s v="Glass Container"/>
        <s v="Elaichi Tea"/>
        <s v="Almond Flour"/>
        <s v="Keratin Shampoo"/>
        <s v="Dal Moth"/>
        <s v="Detergent Liquid"/>
        <s v="Premium Coffee"/>
        <s v="Mixed Pulses"/>
        <s v="Anti Aging Cream"/>
        <s v="Premium Chocolate"/>
        <s v="Kitchen Organizer"/>
      </sharedItems>
    </cacheField>
    <cacheField name="Region" numFmtId="0">
      <sharedItems count="4">
        <s v="North"/>
        <s v="West"/>
        <s v="Central"/>
        <s v="South"/>
      </sharedItems>
    </cacheField>
    <cacheField name="State" numFmtId="0">
      <sharedItems/>
    </cacheField>
    <cacheField name="City" numFmtId="0">
      <sharedItems/>
    </cacheField>
    <cacheField name="Segment" numFmtId="0">
      <sharedItems count="3">
        <s v="Consumer"/>
        <s v="Corporate"/>
        <s v="Home Office"/>
      </sharedItems>
    </cacheField>
    <cacheField name="Sales" numFmtId="0">
      <sharedItems containsSemiMixedTypes="0" containsString="0" containsNumber="1" containsInteger="1" minValue="280" maxValue="1680"/>
    </cacheField>
    <cacheField name="Quantity" numFmtId="0">
      <sharedItems containsSemiMixedTypes="0" containsString="0" containsNumber="1" containsInteger="1" minValue="2" maxValue="10"/>
    </cacheField>
    <cacheField name="Discount" numFmtId="9">
      <sharedItems containsSemiMixedTypes="0" containsString="0" containsNumber="1" minValue="0.05" maxValue="0.1"/>
    </cacheField>
    <cacheField name="Profit" numFmtId="0">
      <sharedItems containsSemiMixedTypes="0" containsString="0" containsNumber="1" containsInteger="1" minValue="37" maxValue="252"/>
    </cacheField>
    <cacheField name="Payment Mode" numFmtId="0">
      <sharedItems count="3">
        <s v="UPI"/>
        <s v="Card"/>
        <s v="Cash"/>
      </sharedItems>
    </cacheField>
    <cacheField name="Months (Order Date)" numFmtId="0" databaseField="0">
      <fieldGroup base="1">
        <rangePr groupBy="months" startDate="2025-01-05T00:00:00" endDate="2025-07-24T00:00:00"/>
        <groupItems count="14">
          <s v="&lt;05-01-2025"/>
          <s v="Jan"/>
          <s v="Feb"/>
          <s v="Mar"/>
          <s v="Apr"/>
          <s v="May"/>
          <s v="Jun"/>
          <s v="Jul"/>
          <s v="Aug"/>
          <s v="Sep"/>
          <s v="Oct"/>
          <s v="Nov"/>
          <s v="Dec"/>
          <s v="&gt;24-07-2025"/>
        </groupItems>
      </fieldGroup>
    </cacheField>
    <cacheField name="Years (Order Date)" numFmtId="0" databaseField="0">
      <fieldGroup base="1">
        <rangePr groupBy="years" startDate="2025-01-05T00:00:00" endDate="2025-07-24T00:00:00"/>
        <groupItems count="3">
          <s v="&lt;05-01-2025"/>
          <s v="2025"/>
          <s v="&gt;24-07-2025"/>
        </groupItems>
      </fieldGroup>
    </cacheField>
  </cacheFields>
  <extLst>
    <ext xmlns:x14="http://schemas.microsoft.com/office/spreadsheetml/2009/9/main" uri="{725AE2AE-9491-48be-B2B4-4EB974FC3084}">
      <x14:pivotCacheDefinition pivotCacheId="56370378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s v="ORD001"/>
    <x v="0"/>
    <s v="Aarav Sharma"/>
    <x v="0"/>
    <s v="Staples"/>
    <x v="0"/>
    <x v="0"/>
    <s v="Delhi"/>
    <s v="New Delhi"/>
    <x v="0"/>
    <n v="1250"/>
    <n v="2"/>
    <n v="0.05"/>
    <n v="180"/>
    <x v="0"/>
  </r>
  <r>
    <s v="ORD002"/>
    <x v="1"/>
    <s v="Priya Verma"/>
    <x v="1"/>
    <s v="Soft Drinks"/>
    <x v="1"/>
    <x v="1"/>
    <s v="Maharashtra"/>
    <s v="Mumbai"/>
    <x v="1"/>
    <n v="540"/>
    <n v="6"/>
    <n v="0.1"/>
    <n v="72"/>
    <x v="1"/>
  </r>
  <r>
    <s v="ORD003"/>
    <x v="2"/>
    <s v="Rahul Patel"/>
    <x v="2"/>
    <s v="Chips"/>
    <x v="2"/>
    <x v="1"/>
    <s v="Gujarat"/>
    <s v="Ahmedabad"/>
    <x v="0"/>
    <n v="360"/>
    <n v="8"/>
    <n v="0.05"/>
    <n v="54"/>
    <x v="2"/>
  </r>
  <r>
    <s v="ORD004"/>
    <x v="3"/>
    <s v="Neha Singh"/>
    <x v="3"/>
    <s v="Cleaning"/>
    <x v="3"/>
    <x v="0"/>
    <s v="Uttar Pradesh"/>
    <s v="Lucknow"/>
    <x v="2"/>
    <n v="780"/>
    <n v="4"/>
    <n v="0.1"/>
    <n v="96"/>
    <x v="0"/>
  </r>
  <r>
    <s v="ORD005"/>
    <x v="4"/>
    <s v="Ankit Jain"/>
    <x v="0"/>
    <s v="Pulses"/>
    <x v="4"/>
    <x v="2"/>
    <s v="Madhya Pradesh"/>
    <s v="Indore"/>
    <x v="0"/>
    <n v="920"/>
    <n v="3"/>
    <n v="0.05"/>
    <n v="138"/>
    <x v="0"/>
  </r>
  <r>
    <s v="ORD006"/>
    <x v="5"/>
    <s v="Sneha Gupta"/>
    <x v="1"/>
    <s v="Juice"/>
    <x v="5"/>
    <x v="0"/>
    <s v="Haryana"/>
    <s v="Gurugram"/>
    <x v="0"/>
    <n v="450"/>
    <n v="5"/>
    <n v="0.05"/>
    <n v="68"/>
    <x v="1"/>
  </r>
  <r>
    <s v="ORD007"/>
    <x v="6"/>
    <s v="Rohit Mehta"/>
    <x v="4"/>
    <s v="Soap"/>
    <x v="6"/>
    <x v="1"/>
    <s v="Rajasthan"/>
    <s v="Jaipur"/>
    <x v="1"/>
    <n v="620"/>
    <n v="10"/>
    <n v="0.1"/>
    <n v="74"/>
    <x v="2"/>
  </r>
  <r>
    <s v="ORD008"/>
    <x v="7"/>
    <s v="Kavya Shah"/>
    <x v="0"/>
    <s v="Staples"/>
    <x v="7"/>
    <x v="1"/>
    <s v="Gujarat"/>
    <s v="Surat"/>
    <x v="0"/>
    <n v="840"/>
    <n v="4"/>
    <n v="0.05"/>
    <n v="126"/>
    <x v="0"/>
  </r>
  <r>
    <s v="ORD009"/>
    <x v="8"/>
    <s v="Vikas Yadav"/>
    <x v="2"/>
    <s v="Biscuits"/>
    <x v="8"/>
    <x v="2"/>
    <s v="Madhya Pradesh"/>
    <s v="Bhopal"/>
    <x v="0"/>
    <n v="280"/>
    <n v="10"/>
    <n v="0.05"/>
    <n v="42"/>
    <x v="2"/>
  </r>
  <r>
    <s v="ORD010"/>
    <x v="9"/>
    <s v="Pooja Mishra"/>
    <x v="3"/>
    <s v="Kitchen"/>
    <x v="9"/>
    <x v="0"/>
    <s v="Delhi"/>
    <s v="New Delhi"/>
    <x v="2"/>
    <n v="390"/>
    <n v="6"/>
    <n v="0.1"/>
    <n v="47"/>
    <x v="0"/>
  </r>
  <r>
    <s v="ORD011"/>
    <x v="10"/>
    <s v="Arjun Rao"/>
    <x v="1"/>
    <s v="Tea"/>
    <x v="10"/>
    <x v="3"/>
    <s v="Karnataka"/>
    <s v="Bengaluru"/>
    <x v="1"/>
    <n v="720"/>
    <n v="4"/>
    <n v="0.05"/>
    <n v="108"/>
    <x v="1"/>
  </r>
  <r>
    <s v="ORD012"/>
    <x v="11"/>
    <s v="Riya Kapoor"/>
    <x v="0"/>
    <s v="Staples"/>
    <x v="11"/>
    <x v="0"/>
    <s v="Punjab"/>
    <s v="Ludhiana"/>
    <x v="0"/>
    <n v="510"/>
    <n v="5"/>
    <n v="0.05"/>
    <n v="77"/>
    <x v="0"/>
  </r>
  <r>
    <s v="ORD013"/>
    <x v="12"/>
    <s v="Manish Kumar"/>
    <x v="4"/>
    <s v="Shampoo"/>
    <x v="12"/>
    <x v="2"/>
    <s v="Madhya Pradesh"/>
    <s v="Indore"/>
    <x v="0"/>
    <n v="680"/>
    <n v="4"/>
    <n v="0.1"/>
    <n v="82"/>
    <x v="1"/>
  </r>
  <r>
    <s v="ORD014"/>
    <x v="13"/>
    <s v="Simran Kaur"/>
    <x v="2"/>
    <s v="Namkeen"/>
    <x v="13"/>
    <x v="0"/>
    <s v="Punjab"/>
    <s v="Amritsar"/>
    <x v="1"/>
    <n v="430"/>
    <n v="7"/>
    <n v="0.05"/>
    <n v="65"/>
    <x v="2"/>
  </r>
  <r>
    <s v="ORD015"/>
    <x v="14"/>
    <s v="Deepak Soni"/>
    <x v="3"/>
    <s v="Cleaning"/>
    <x v="14"/>
    <x v="1"/>
    <s v="Maharashtra"/>
    <s v="Pune"/>
    <x v="0"/>
    <n v="1150"/>
    <n v="3"/>
    <n v="0.1"/>
    <n v="138"/>
    <x v="0"/>
  </r>
  <r>
    <s v="ORD016"/>
    <x v="15"/>
    <s v="Isha Malhotra"/>
    <x v="1"/>
    <s v="Coffee"/>
    <x v="15"/>
    <x v="0"/>
    <s v="Delhi"/>
    <s v="New Delhi"/>
    <x v="0"/>
    <n v="890"/>
    <n v="2"/>
    <n v="0.05"/>
    <n v="134"/>
    <x v="1"/>
  </r>
  <r>
    <s v="ORD017"/>
    <x v="16"/>
    <s v="Varun Agarwal"/>
    <x v="0"/>
    <s v="Pulses"/>
    <x v="16"/>
    <x v="0"/>
    <s v="Uttar Pradesh"/>
    <s v="Kanpur"/>
    <x v="1"/>
    <n v="760"/>
    <n v="3"/>
    <n v="0.05"/>
    <n v="114"/>
    <x v="0"/>
  </r>
  <r>
    <s v="ORD018"/>
    <x v="17"/>
    <s v="Nidhi Joshi"/>
    <x v="4"/>
    <s v="Skincare"/>
    <x v="17"/>
    <x v="1"/>
    <s v="Rajasthan"/>
    <s v="Jaipur"/>
    <x v="0"/>
    <n v="540"/>
    <n v="4"/>
    <n v="0.1"/>
    <n v="65"/>
    <x v="2"/>
  </r>
  <r>
    <s v="ORD019"/>
    <x v="18"/>
    <s v="Sachin Tiwari"/>
    <x v="2"/>
    <s v="Chocolates"/>
    <x v="18"/>
    <x v="2"/>
    <s v="Madhya Pradesh"/>
    <s v="Bhopal"/>
    <x v="0"/>
    <n v="650"/>
    <n v="5"/>
    <n v="0.05"/>
    <n v="98"/>
    <x v="1"/>
  </r>
  <r>
    <s v="ORD020"/>
    <x v="19"/>
    <s v="Anjali Deshmukh"/>
    <x v="3"/>
    <s v="Kitchen"/>
    <x v="19"/>
    <x v="1"/>
    <s v="Maharashtra"/>
    <s v="Nagpur"/>
    <x v="2"/>
    <n v="320"/>
    <n v="4"/>
    <n v="0.05"/>
    <n v="48"/>
    <x v="0"/>
  </r>
  <r>
    <s v="ORD021"/>
    <x v="20"/>
    <s v="Karan Bansal"/>
    <x v="0"/>
    <s v="Staples"/>
    <x v="20"/>
    <x v="0"/>
    <s v="Haryana"/>
    <s v="Faridabad"/>
    <x v="0"/>
    <n v="1450"/>
    <n v="2"/>
    <n v="0.1"/>
    <n v="174"/>
    <x v="1"/>
  </r>
  <r>
    <s v="ORD022"/>
    <x v="21"/>
    <s v="Megha Gupta"/>
    <x v="1"/>
    <s v="Soft Drinks"/>
    <x v="21"/>
    <x v="0"/>
    <s v="Delhi"/>
    <s v="New Delhi"/>
    <x v="0"/>
    <n v="480"/>
    <n v="8"/>
    <n v="0.05"/>
    <n v="72"/>
    <x v="2"/>
  </r>
  <r>
    <s v="ORD023"/>
    <x v="22"/>
    <s v="Aditya Singh"/>
    <x v="2"/>
    <s v="Chips"/>
    <x v="22"/>
    <x v="1"/>
    <s v="Gujarat"/>
    <s v="Vadodara"/>
    <x v="1"/>
    <n v="390"/>
    <n v="7"/>
    <n v="0.1"/>
    <n v="47"/>
    <x v="0"/>
  </r>
  <r>
    <s v="ORD024"/>
    <x v="23"/>
    <s v="Tanvi Sharma"/>
    <x v="3"/>
    <s v="Cleaning"/>
    <x v="23"/>
    <x v="2"/>
    <s v="Madhya Pradesh"/>
    <s v="Indore"/>
    <x v="0"/>
    <n v="460"/>
    <n v="5"/>
    <n v="0.05"/>
    <n v="69"/>
    <x v="0"/>
  </r>
  <r>
    <s v="ORD025"/>
    <x v="24"/>
    <s v="Mohit Jain"/>
    <x v="0"/>
    <s v="Pulses"/>
    <x v="24"/>
    <x v="1"/>
    <s v="Maharashtra"/>
    <s v="Mumbai"/>
    <x v="0"/>
    <n v="670"/>
    <n v="4"/>
    <n v="0.05"/>
    <n v="101"/>
    <x v="1"/>
  </r>
  <r>
    <s v="ORD026"/>
    <x v="25"/>
    <s v="Radhika Sen"/>
    <x v="1"/>
    <s v="Juice"/>
    <x v="25"/>
    <x v="0"/>
    <s v="Uttar Pradesh"/>
    <s v="Lucknow"/>
    <x v="2"/>
    <n v="520"/>
    <n v="5"/>
    <n v="0.1"/>
    <n v="62"/>
    <x v="2"/>
  </r>
  <r>
    <s v="ORD027"/>
    <x v="26"/>
    <s v="Yash Patel"/>
    <x v="4"/>
    <s v="Soap"/>
    <x v="26"/>
    <x v="1"/>
    <s v="Gujarat"/>
    <s v="Ahmedabad"/>
    <x v="0"/>
    <n v="440"/>
    <n v="6"/>
    <n v="0.05"/>
    <n v="66"/>
    <x v="0"/>
  </r>
  <r>
    <s v="ORD028"/>
    <x v="27"/>
    <s v="Aditi Verma"/>
    <x v="0"/>
    <s v="Staples"/>
    <x v="27"/>
    <x v="0"/>
    <s v="Delhi"/>
    <s v="New Delhi"/>
    <x v="1"/>
    <n v="380"/>
    <n v="5"/>
    <n v="0.05"/>
    <n v="57"/>
    <x v="1"/>
  </r>
  <r>
    <s v="ORD029"/>
    <x v="28"/>
    <s v="Sumit Sharma"/>
    <x v="2"/>
    <s v="Biscuits"/>
    <x v="28"/>
    <x v="2"/>
    <s v="Madhya Pradesh"/>
    <s v="Bhopal"/>
    <x v="0"/>
    <n v="310"/>
    <n v="8"/>
    <n v="0.1"/>
    <n v="37"/>
    <x v="2"/>
  </r>
  <r>
    <s v="ORD030"/>
    <x v="29"/>
    <s v="Shreya Kapoor"/>
    <x v="3"/>
    <s v="Kitchen"/>
    <x v="29"/>
    <x v="1"/>
    <s v="Maharashtra"/>
    <s v="Pune"/>
    <x v="0"/>
    <n v="570"/>
    <n v="5"/>
    <n v="0.05"/>
    <n v="86"/>
    <x v="0"/>
  </r>
  <r>
    <s v="ORD031"/>
    <x v="30"/>
    <s v="Akash Gupta"/>
    <x v="1"/>
    <s v="Tea"/>
    <x v="30"/>
    <x v="0"/>
    <s v="Haryana"/>
    <s v="Gurugram"/>
    <x v="1"/>
    <n v="960"/>
    <n v="3"/>
    <n v="0.1"/>
    <n v="115"/>
    <x v="1"/>
  </r>
  <r>
    <s v="ORD032"/>
    <x v="31"/>
    <s v="Divya Mehta"/>
    <x v="0"/>
    <s v="Staples"/>
    <x v="31"/>
    <x v="1"/>
    <s v="Rajasthan"/>
    <s v="Jaipur"/>
    <x v="0"/>
    <n v="350"/>
    <n v="5"/>
    <n v="0.05"/>
    <n v="53"/>
    <x v="0"/>
  </r>
  <r>
    <s v="ORD033"/>
    <x v="32"/>
    <s v="Naveen Kumar"/>
    <x v="4"/>
    <s v="Shampoo"/>
    <x v="32"/>
    <x v="2"/>
    <s v="Madhya Pradesh"/>
    <s v="Indore"/>
    <x v="0"/>
    <n v="720"/>
    <n v="3"/>
    <n v="0.1"/>
    <n v="86"/>
    <x v="1"/>
  </r>
  <r>
    <s v="ORD034"/>
    <x v="33"/>
    <s v="Komal Yadav"/>
    <x v="2"/>
    <s v="Namkeen"/>
    <x v="33"/>
    <x v="0"/>
    <s v="Uttar Pradesh"/>
    <s v="Kanpur"/>
    <x v="1"/>
    <n v="480"/>
    <n v="6"/>
    <n v="0.05"/>
    <n v="72"/>
    <x v="2"/>
  </r>
  <r>
    <s v="ORD035"/>
    <x v="34"/>
    <s v="Rajesh Shah"/>
    <x v="3"/>
    <s v="Cleaning"/>
    <x v="34"/>
    <x v="1"/>
    <s v="Gujarat"/>
    <s v="Surat"/>
    <x v="0"/>
    <n v="850"/>
    <n v="3"/>
    <n v="0.1"/>
    <n v="102"/>
    <x v="0"/>
  </r>
  <r>
    <s v="ORD036"/>
    <x v="35"/>
    <s v="Payal Jain"/>
    <x v="1"/>
    <s v="Coffee"/>
    <x v="35"/>
    <x v="0"/>
    <s v="Punjab"/>
    <s v="Ludhiana"/>
    <x v="0"/>
    <n v="780"/>
    <n v="3"/>
    <n v="0.05"/>
    <n v="117"/>
    <x v="1"/>
  </r>
  <r>
    <s v="ORD037"/>
    <x v="36"/>
    <s v="Abhishek Rao"/>
    <x v="0"/>
    <s v="Pulses"/>
    <x v="36"/>
    <x v="3"/>
    <s v="Karnataka"/>
    <s v="Bengaluru"/>
    <x v="1"/>
    <n v="690"/>
    <n v="4"/>
    <n v="0.05"/>
    <n v="104"/>
    <x v="0"/>
  </r>
  <r>
    <s v="ORD038"/>
    <x v="37"/>
    <s v="Muskan Gupta"/>
    <x v="4"/>
    <s v="Skincare"/>
    <x v="37"/>
    <x v="2"/>
    <s v="Madhya Pradesh"/>
    <s v="Bhopal"/>
    <x v="0"/>
    <n v="610"/>
    <n v="3"/>
    <n v="0.1"/>
    <n v="73"/>
    <x v="2"/>
  </r>
  <r>
    <s v="ORD039"/>
    <x v="38"/>
    <s v="Varun Soni"/>
    <x v="2"/>
    <s v="Chocolates"/>
    <x v="38"/>
    <x v="1"/>
    <s v="Maharashtra"/>
    <s v="Nagpur"/>
    <x v="0"/>
    <n v="520"/>
    <n v="7"/>
    <n v="0.05"/>
    <n v="78"/>
    <x v="1"/>
  </r>
  <r>
    <s v="ORD040"/>
    <x v="39"/>
    <s v="Neelam Joshi"/>
    <x v="3"/>
    <s v="Kitchen"/>
    <x v="39"/>
    <x v="0"/>
    <s v="Delhi"/>
    <s v="New Delhi"/>
    <x v="2"/>
    <n v="920"/>
    <n v="4"/>
    <n v="0.1"/>
    <n v="110"/>
    <x v="0"/>
  </r>
  <r>
    <s v="ORD041"/>
    <x v="40"/>
    <s v="Rakesh Bansal"/>
    <x v="0"/>
    <s v="Staples"/>
    <x v="40"/>
    <x v="0"/>
    <s v="Haryana"/>
    <s v="Faridabad"/>
    <x v="0"/>
    <n v="1680"/>
    <n v="2"/>
    <n v="0.05"/>
    <n v="252"/>
    <x v="1"/>
  </r>
  <r>
    <s v="ORD042"/>
    <x v="41"/>
    <s v="Sonal Singh"/>
    <x v="1"/>
    <s v="Soft Drinks"/>
    <x v="41"/>
    <x v="1"/>
    <s v="Rajasthan"/>
    <s v="Jaipur"/>
    <x v="0"/>
    <n v="430"/>
    <n v="8"/>
    <n v="0.1"/>
    <n v="52"/>
    <x v="2"/>
  </r>
  <r>
    <s v="ORD043"/>
    <x v="42"/>
    <s v="Harsh Patel"/>
    <x v="2"/>
    <s v="Chips"/>
    <x v="42"/>
    <x v="1"/>
    <s v="Gujarat"/>
    <s v="Vadodara"/>
    <x v="1"/>
    <n v="560"/>
    <n v="6"/>
    <n v="0.05"/>
    <n v="84"/>
    <x v="0"/>
  </r>
  <r>
    <s v="ORD044"/>
    <x v="43"/>
    <s v="Preeti Mishra"/>
    <x v="3"/>
    <s v="Cleaning"/>
    <x v="43"/>
    <x v="2"/>
    <s v="Madhya Pradesh"/>
    <s v="Indore"/>
    <x v="0"/>
    <n v="490"/>
    <n v="5"/>
    <n v="0.1"/>
    <n v="59"/>
    <x v="0"/>
  </r>
  <r>
    <s v="ORD045"/>
    <x v="44"/>
    <s v="Gaurav Jain"/>
    <x v="0"/>
    <s v="Pulses"/>
    <x v="44"/>
    <x v="1"/>
    <s v="Maharashtra"/>
    <s v="Mumbai"/>
    <x v="0"/>
    <n v="740"/>
    <n v="4"/>
    <n v="0.05"/>
    <n v="111"/>
    <x v="1"/>
  </r>
  <r>
    <s v="ORD046"/>
    <x v="45"/>
    <s v="Swati Kapoor"/>
    <x v="1"/>
    <s v="Juice"/>
    <x v="45"/>
    <x v="0"/>
    <s v="Uttar Pradesh"/>
    <s v="Lucknow"/>
    <x v="2"/>
    <n v="580"/>
    <n v="5"/>
    <n v="0.05"/>
    <n v="87"/>
    <x v="2"/>
  </r>
  <r>
    <s v="ORD047"/>
    <x v="46"/>
    <s v="Manav Sharma"/>
    <x v="4"/>
    <s v="Soap"/>
    <x v="46"/>
    <x v="0"/>
    <s v="Delhi"/>
    <s v="New Delhi"/>
    <x v="0"/>
    <n v="460"/>
    <n v="6"/>
    <n v="0.1"/>
    <n v="55"/>
    <x v="0"/>
  </r>
  <r>
    <s v="ORD048"/>
    <x v="47"/>
    <s v="Reema Verma"/>
    <x v="0"/>
    <s v="Staples"/>
    <x v="47"/>
    <x v="1"/>
    <s v="Gujarat"/>
    <s v="Ahmedabad"/>
    <x v="1"/>
    <n v="410"/>
    <n v="5"/>
    <n v="0.05"/>
    <n v="62"/>
    <x v="1"/>
  </r>
  <r>
    <s v="ORD049"/>
    <x v="48"/>
    <s v="Saurabh Singh"/>
    <x v="2"/>
    <s v="Biscuits"/>
    <x v="48"/>
    <x v="2"/>
    <s v="Madhya Pradesh"/>
    <s v="Bhopal"/>
    <x v="0"/>
    <n v="340"/>
    <n v="9"/>
    <n v="0.1"/>
    <n v="41"/>
    <x v="2"/>
  </r>
  <r>
    <s v="ORD050"/>
    <x v="49"/>
    <s v="Shivani Patel"/>
    <x v="3"/>
    <s v="Kitchen"/>
    <x v="49"/>
    <x v="1"/>
    <s v="Maharashtra"/>
    <s v="Pune"/>
    <x v="0"/>
    <n v="370"/>
    <n v="5"/>
    <n v="0.05"/>
    <n v="56"/>
    <x v="0"/>
  </r>
  <r>
    <s v="ORD051"/>
    <x v="50"/>
    <s v="Aman Gupta"/>
    <x v="1"/>
    <s v="Tea"/>
    <x v="50"/>
    <x v="0"/>
    <s v="Haryana"/>
    <s v="Gurugram"/>
    <x v="1"/>
    <n v="680"/>
    <n v="4"/>
    <n v="0.1"/>
    <n v="82"/>
    <x v="1"/>
  </r>
  <r>
    <s v="ORD052"/>
    <x v="51"/>
    <s v="Khushi Jain"/>
    <x v="0"/>
    <s v="Staples"/>
    <x v="51"/>
    <x v="1"/>
    <s v="Rajasthan"/>
    <s v="Jaipur"/>
    <x v="0"/>
    <n v="330"/>
    <n v="5"/>
    <n v="0.05"/>
    <n v="50"/>
    <x v="0"/>
  </r>
  <r>
    <s v="ORD053"/>
    <x v="52"/>
    <s v="Nitin Mehta"/>
    <x v="4"/>
    <s v="Shampoo"/>
    <x v="52"/>
    <x v="2"/>
    <s v="Madhya Pradesh"/>
    <s v="Indore"/>
    <x v="0"/>
    <n v="820"/>
    <n v="3"/>
    <n v="0.1"/>
    <n v="98"/>
    <x v="1"/>
  </r>
  <r>
    <s v="ORD054"/>
    <x v="53"/>
    <s v="Ritu Yadav"/>
    <x v="2"/>
    <s v="Namkeen"/>
    <x v="53"/>
    <x v="0"/>
    <s v="Uttar Pradesh"/>
    <s v="Kanpur"/>
    <x v="1"/>
    <n v="420"/>
    <n v="7"/>
    <n v="0.05"/>
    <n v="63"/>
    <x v="2"/>
  </r>
  <r>
    <s v="ORD055"/>
    <x v="54"/>
    <s v="Rohan Shah"/>
    <x v="3"/>
    <s v="Cleaning"/>
    <x v="54"/>
    <x v="1"/>
    <s v="Gujarat"/>
    <s v="Surat"/>
    <x v="0"/>
    <n v="980"/>
    <n v="3"/>
    <n v="0.1"/>
    <n v="118"/>
    <x v="0"/>
  </r>
  <r>
    <s v="ORD056"/>
    <x v="55"/>
    <s v="Shalini Rao"/>
    <x v="1"/>
    <s v="Coffee"/>
    <x v="55"/>
    <x v="3"/>
    <s v="Karnataka"/>
    <s v="Bengaluru"/>
    <x v="0"/>
    <n v="740"/>
    <n v="3"/>
    <n v="0.05"/>
    <n v="111"/>
    <x v="1"/>
  </r>
  <r>
    <s v="ORD057"/>
    <x v="56"/>
    <s v="Vivek Kumar"/>
    <x v="0"/>
    <s v="Pulses"/>
    <x v="56"/>
    <x v="2"/>
    <s v="Madhya Pradesh"/>
    <s v="Bhopal"/>
    <x v="1"/>
    <n v="880"/>
    <n v="3"/>
    <n v="0.05"/>
    <n v="132"/>
    <x v="0"/>
  </r>
  <r>
    <s v="ORD058"/>
    <x v="57"/>
    <s v="Monika Gupta"/>
    <x v="4"/>
    <s v="Skincare"/>
    <x v="57"/>
    <x v="1"/>
    <s v="Maharashtra"/>
    <s v="Nagpur"/>
    <x v="0"/>
    <n v="670"/>
    <n v="4"/>
    <n v="0.1"/>
    <n v="80"/>
    <x v="2"/>
  </r>
  <r>
    <s v="ORD059"/>
    <x v="58"/>
    <s v="Anurag Soni"/>
    <x v="2"/>
    <s v="Chocolates"/>
    <x v="58"/>
    <x v="1"/>
    <s v="Maharashtra"/>
    <s v="Mumbai"/>
    <x v="0"/>
    <n v="460"/>
    <n v="8"/>
    <n v="0.05"/>
    <n v="69"/>
    <x v="1"/>
  </r>
  <r>
    <s v="ORD060"/>
    <x v="59"/>
    <s v="Payal Sharma"/>
    <x v="3"/>
    <s v="Kitchen"/>
    <x v="59"/>
    <x v="0"/>
    <s v="Delhi"/>
    <s v="New Delhi"/>
    <x v="2"/>
    <n v="780"/>
    <n v="4"/>
    <n v="0.1"/>
    <n v="94"/>
    <x v="0"/>
  </r>
  <r>
    <s v="ORD061"/>
    <x v="60"/>
    <s v="Raj Malhotra"/>
    <x v="0"/>
    <s v="Staples"/>
    <x v="60"/>
    <x v="0"/>
    <s v="Haryana"/>
    <s v="Faridabad"/>
    <x v="0"/>
    <n v="1320"/>
    <n v="2"/>
    <n v="0.05"/>
    <n v="198"/>
    <x v="1"/>
  </r>
  <r>
    <s v="ORD062"/>
    <x v="61"/>
    <s v="Kriti Singh"/>
    <x v="1"/>
    <s v="Soft Drinks"/>
    <x v="61"/>
    <x v="0"/>
    <s v="Punjab"/>
    <s v="Ludhiana"/>
    <x v="0"/>
    <n v="510"/>
    <n v="7"/>
    <n v="0.1"/>
    <n v="61"/>
    <x v="2"/>
  </r>
  <r>
    <s v="ORD063"/>
    <x v="62"/>
    <s v="Dev Patel"/>
    <x v="2"/>
    <s v="Chips"/>
    <x v="62"/>
    <x v="1"/>
    <s v="Gujarat"/>
    <s v="Ahmedabad"/>
    <x v="1"/>
    <n v="470"/>
    <n v="7"/>
    <n v="0.05"/>
    <n v="71"/>
    <x v="0"/>
  </r>
  <r>
    <s v="ORD064"/>
    <x v="63"/>
    <s v="Shweta Mishra"/>
    <x v="3"/>
    <s v="Cleaning"/>
    <x v="63"/>
    <x v="2"/>
    <s v="Madhya Pradesh"/>
    <s v="Indore"/>
    <x v="0"/>
    <n v="530"/>
    <n v="5"/>
    <n v="0.1"/>
    <n v="64"/>
    <x v="0"/>
  </r>
  <r>
    <s v="ORD065"/>
    <x v="64"/>
    <s v="Ravi Jain"/>
    <x v="0"/>
    <s v="Pulses"/>
    <x v="64"/>
    <x v="1"/>
    <s v="Maharashtra"/>
    <s v="Pune"/>
    <x v="0"/>
    <n v="810"/>
    <n v="4"/>
    <n v="0.05"/>
    <n v="122"/>
    <x v="1"/>
  </r>
  <r>
    <s v="ORD066"/>
    <x v="65"/>
    <s v="Anu Kapoor"/>
    <x v="1"/>
    <s v="Juice"/>
    <x v="65"/>
    <x v="0"/>
    <s v="Uttar Pradesh"/>
    <s v="Lucknow"/>
    <x v="2"/>
    <n v="620"/>
    <n v="5"/>
    <n v="0.05"/>
    <n v="93"/>
    <x v="2"/>
  </r>
  <r>
    <s v="ORD067"/>
    <x v="66"/>
    <s v="Varun Verma"/>
    <x v="4"/>
    <s v="Soap"/>
    <x v="66"/>
    <x v="0"/>
    <s v="Delhi"/>
    <s v="New Delhi"/>
    <x v="0"/>
    <n v="560"/>
    <n v="8"/>
    <n v="0.1"/>
    <n v="67"/>
    <x v="0"/>
  </r>
  <r>
    <s v="ORD068"/>
    <x v="67"/>
    <s v="Pallavi Shah"/>
    <x v="0"/>
    <s v="Staples"/>
    <x v="67"/>
    <x v="1"/>
    <s v="Gujarat"/>
    <s v="Vadodara"/>
    <x v="1"/>
    <n v="490"/>
    <n v="5"/>
    <n v="0.05"/>
    <n v="74"/>
    <x v="1"/>
  </r>
  <r>
    <s v="ORD069"/>
    <x v="68"/>
    <s v="Rahul Soni"/>
    <x v="2"/>
    <s v="Biscuits"/>
    <x v="68"/>
    <x v="2"/>
    <s v="Madhya Pradesh"/>
    <s v="Bhopal"/>
    <x v="0"/>
    <n v="390"/>
    <n v="8"/>
    <n v="0.1"/>
    <n v="47"/>
    <x v="2"/>
  </r>
  <r>
    <s v="ORD070"/>
    <x v="69"/>
    <s v="Neha Jain"/>
    <x v="3"/>
    <s v="Kitchen"/>
    <x v="69"/>
    <x v="1"/>
    <s v="Maharashtra"/>
    <s v="Nagpur"/>
    <x v="0"/>
    <n v="690"/>
    <n v="4"/>
    <n v="0.05"/>
    <n v="104"/>
    <x v="0"/>
  </r>
  <r>
    <s v="ORD071"/>
    <x v="70"/>
    <s v="Arnav Gupta"/>
    <x v="1"/>
    <s v="Tea"/>
    <x v="70"/>
    <x v="0"/>
    <s v="Haryana"/>
    <s v="Gurugram"/>
    <x v="1"/>
    <n v="830"/>
    <n v="3"/>
    <n v="0.1"/>
    <n v="100"/>
    <x v="1"/>
  </r>
  <r>
    <s v="ORD072"/>
    <x v="71"/>
    <s v="Sakshi Mehta"/>
    <x v="0"/>
    <s v="Staples"/>
    <x v="71"/>
    <x v="1"/>
    <s v="Rajasthan"/>
    <s v="Jaipur"/>
    <x v="0"/>
    <n v="610"/>
    <n v="4"/>
    <n v="0.05"/>
    <n v="92"/>
    <x v="0"/>
  </r>
  <r>
    <s v="ORD073"/>
    <x v="72"/>
    <s v="Mayank Kumar"/>
    <x v="4"/>
    <s v="Shampoo"/>
    <x v="72"/>
    <x v="2"/>
    <s v="Madhya Pradesh"/>
    <s v="Indore"/>
    <x v="0"/>
    <n v="760"/>
    <n v="3"/>
    <n v="0.1"/>
    <n v="91"/>
    <x v="1"/>
  </r>
  <r>
    <s v="ORD074"/>
    <x v="73"/>
    <s v="Roshni Yadav"/>
    <x v="2"/>
    <s v="Namkeen"/>
    <x v="73"/>
    <x v="0"/>
    <s v="Uttar Pradesh"/>
    <s v="Kanpur"/>
    <x v="1"/>
    <n v="450"/>
    <n v="7"/>
    <n v="0.05"/>
    <n v="68"/>
    <x v="2"/>
  </r>
  <r>
    <s v="ORD075"/>
    <x v="74"/>
    <s v="Kunal Shah"/>
    <x v="3"/>
    <s v="Cleaning"/>
    <x v="74"/>
    <x v="1"/>
    <s v="Gujarat"/>
    <s v="Surat"/>
    <x v="0"/>
    <n v="870"/>
    <n v="3"/>
    <n v="0.1"/>
    <n v="104"/>
    <x v="0"/>
  </r>
  <r>
    <s v="ORD076"/>
    <x v="75"/>
    <s v="Simran Rao"/>
    <x v="1"/>
    <s v="Coffee"/>
    <x v="75"/>
    <x v="3"/>
    <s v="Karnataka"/>
    <s v="Bengaluru"/>
    <x v="0"/>
    <n v="640"/>
    <n v="6"/>
    <n v="0.05"/>
    <n v="96"/>
    <x v="1"/>
  </r>
  <r>
    <s v="ORD077"/>
    <x v="76"/>
    <s v="Ashish Patel"/>
    <x v="0"/>
    <s v="Pulses"/>
    <x v="76"/>
    <x v="1"/>
    <s v="Gujarat"/>
    <s v="Ahmedabad"/>
    <x v="1"/>
    <n v="720"/>
    <n v="4"/>
    <n v="0.05"/>
    <n v="108"/>
    <x v="0"/>
  </r>
  <r>
    <s v="ORD078"/>
    <x v="77"/>
    <s v="Divya Jain"/>
    <x v="4"/>
    <s v="Skincare"/>
    <x v="77"/>
    <x v="2"/>
    <s v="Madhya Pradesh"/>
    <s v="Bhopal"/>
    <x v="0"/>
    <n v="890"/>
    <n v="3"/>
    <n v="0.1"/>
    <n v="107"/>
    <x v="2"/>
  </r>
  <r>
    <s v="ORD079"/>
    <x v="78"/>
    <s v="Akshay Soni"/>
    <x v="2"/>
    <s v="Chocolates"/>
    <x v="78"/>
    <x v="1"/>
    <s v="Maharashtra"/>
    <s v="Mumbai"/>
    <x v="0"/>
    <n v="580"/>
    <n v="6"/>
    <n v="0.05"/>
    <n v="87"/>
    <x v="1"/>
  </r>
  <r>
    <s v="ORD080"/>
    <x v="79"/>
    <s v="Namrata Kapoor"/>
    <x v="3"/>
    <s v="Kitchen"/>
    <x v="79"/>
    <x v="0"/>
    <s v="Delhi"/>
    <s v="New Delhi"/>
    <x v="2"/>
    <n v="740"/>
    <n v="4"/>
    <n v="0.1"/>
    <n v="89"/>
    <x v="0"/>
  </r>
  <r>
    <s v="ORD081"/>
    <x v="80"/>
    <s v="Varun Bansal"/>
    <x v="0"/>
    <s v="Staples"/>
    <x v="80"/>
    <x v="0"/>
    <s v="Haryana"/>
    <s v="Faridabad"/>
    <x v="0"/>
    <n v="1280"/>
    <n v="2"/>
    <n v="0.05"/>
    <n v="192"/>
    <x v="1"/>
  </r>
  <r>
    <s v="ORD082"/>
    <x v="81"/>
    <s v="Ishita Singh"/>
    <x v="1"/>
    <s v="Soft Drinks"/>
    <x v="81"/>
    <x v="0"/>
    <s v="Punjab"/>
    <s v="Amritsar"/>
    <x v="0"/>
    <n v="590"/>
    <n v="8"/>
    <n v="0.1"/>
    <n v="71"/>
    <x v="2"/>
  </r>
  <r>
    <s v="ORD083"/>
    <x v="82"/>
    <s v="Ritesh Patel"/>
    <x v="2"/>
    <s v="Chips"/>
    <x v="82"/>
    <x v="1"/>
    <s v="Gujarat"/>
    <s v="Vadodara"/>
    <x v="1"/>
    <n v="510"/>
    <n v="7"/>
    <n v="0.05"/>
    <n v="77"/>
    <x v="0"/>
  </r>
  <r>
    <s v="ORD084"/>
    <x v="83"/>
    <s v="Priyanshi Mishra"/>
    <x v="3"/>
    <s v="Cleaning"/>
    <x v="83"/>
    <x v="2"/>
    <s v="Madhya Pradesh"/>
    <s v="Indore"/>
    <x v="0"/>
    <n v="620"/>
    <n v="5"/>
    <n v="0.1"/>
    <n v="74"/>
    <x v="0"/>
  </r>
  <r>
    <s v="ORD085"/>
    <x v="84"/>
    <s v="Ajay Jain"/>
    <x v="0"/>
    <s v="Pulses"/>
    <x v="84"/>
    <x v="1"/>
    <s v="Maharashtra"/>
    <s v="Pune"/>
    <x v="0"/>
    <n v="850"/>
    <n v="4"/>
    <n v="0.05"/>
    <n v="128"/>
    <x v="1"/>
  </r>
  <r>
    <s v="ORD086"/>
    <x v="85"/>
    <s v="Rhea Gupta"/>
    <x v="1"/>
    <s v="Juice"/>
    <x v="85"/>
    <x v="0"/>
    <s v="Uttar Pradesh"/>
    <s v="Lucknow"/>
    <x v="2"/>
    <n v="570"/>
    <n v="5"/>
    <n v="0.05"/>
    <n v="86"/>
    <x v="2"/>
  </r>
  <r>
    <s v="ORD087"/>
    <x v="86"/>
    <s v="Mohit Verma"/>
    <x v="4"/>
    <s v="Soap"/>
    <x v="86"/>
    <x v="0"/>
    <s v="Delhi"/>
    <s v="New Delhi"/>
    <x v="0"/>
    <n v="430"/>
    <n v="6"/>
    <n v="0.1"/>
    <n v="52"/>
    <x v="0"/>
  </r>
  <r>
    <s v="ORD088"/>
    <x v="87"/>
    <s v="Shreya Shah"/>
    <x v="0"/>
    <s v="Staples"/>
    <x v="87"/>
    <x v="1"/>
    <s v="Gujarat"/>
    <s v="Ahmedabad"/>
    <x v="1"/>
    <n v="520"/>
    <n v="5"/>
    <n v="0.05"/>
    <n v="78"/>
    <x v="1"/>
  </r>
  <r>
    <s v="ORD089"/>
    <x v="88"/>
    <s v="Sumit Soni"/>
    <x v="2"/>
    <s v="Biscuits"/>
    <x v="88"/>
    <x v="2"/>
    <s v="Madhya Pradesh"/>
    <s v="Bhopal"/>
    <x v="0"/>
    <n v="420"/>
    <n v="8"/>
    <n v="0.1"/>
    <n v="50"/>
    <x v="2"/>
  </r>
  <r>
    <s v="ORD090"/>
    <x v="89"/>
    <s v="Kajal Jain"/>
    <x v="3"/>
    <s v="Kitchen"/>
    <x v="89"/>
    <x v="1"/>
    <s v="Maharashtra"/>
    <s v="Nagpur"/>
    <x v="0"/>
    <n v="680"/>
    <n v="3"/>
    <n v="0.05"/>
    <n v="102"/>
    <x v="0"/>
  </r>
  <r>
    <s v="ORD091"/>
    <x v="90"/>
    <s v="Rohan Gupta"/>
    <x v="1"/>
    <s v="Tea"/>
    <x v="90"/>
    <x v="0"/>
    <s v="Haryana"/>
    <s v="Gurugram"/>
    <x v="1"/>
    <n v="910"/>
    <n v="3"/>
    <n v="0.1"/>
    <n v="109"/>
    <x v="1"/>
  </r>
  <r>
    <s v="ORD092"/>
    <x v="91"/>
    <s v="Manisha Mehta"/>
    <x v="0"/>
    <s v="Staples"/>
    <x v="91"/>
    <x v="1"/>
    <s v="Rajasthan"/>
    <s v="Jaipur"/>
    <x v="0"/>
    <n v="730"/>
    <n v="4"/>
    <n v="0.05"/>
    <n v="110"/>
    <x v="0"/>
  </r>
  <r>
    <s v="ORD093"/>
    <x v="92"/>
    <s v="Himanshu Kumar"/>
    <x v="4"/>
    <s v="Shampoo"/>
    <x v="92"/>
    <x v="2"/>
    <s v="Madhya Pradesh"/>
    <s v="Indore"/>
    <x v="0"/>
    <n v="970"/>
    <n v="3"/>
    <n v="0.1"/>
    <n v="116"/>
    <x v="1"/>
  </r>
  <r>
    <s v="ORD094"/>
    <x v="93"/>
    <s v="Tanya Yadav"/>
    <x v="2"/>
    <s v="Namkeen"/>
    <x v="93"/>
    <x v="0"/>
    <s v="Uttar Pradesh"/>
    <s v="Kanpur"/>
    <x v="1"/>
    <n v="480"/>
    <n v="7"/>
    <n v="0.05"/>
    <n v="72"/>
    <x v="2"/>
  </r>
  <r>
    <s v="ORD095"/>
    <x v="94"/>
    <s v="Abhishek Shah"/>
    <x v="3"/>
    <s v="Cleaning"/>
    <x v="43"/>
    <x v="1"/>
    <s v="Gujarat"/>
    <s v="Surat"/>
    <x v="0"/>
    <n v="550"/>
    <n v="5"/>
    <n v="0.1"/>
    <n v="66"/>
    <x v="0"/>
  </r>
  <r>
    <s v="ORD096"/>
    <x v="95"/>
    <s v="Poonam Rao"/>
    <x v="1"/>
    <s v="Coffee"/>
    <x v="94"/>
    <x v="3"/>
    <s v="Karnataka"/>
    <s v="Bengaluru"/>
    <x v="0"/>
    <n v="1020"/>
    <n v="2"/>
    <n v="0.05"/>
    <n v="153"/>
    <x v="1"/>
  </r>
  <r>
    <s v="ORD097"/>
    <x v="96"/>
    <s v="Rajiv Patel"/>
    <x v="0"/>
    <s v="Pulses"/>
    <x v="95"/>
    <x v="1"/>
    <s v="Gujarat"/>
    <s v="Ahmedabad"/>
    <x v="1"/>
    <n v="790"/>
    <n v="4"/>
    <n v="0.05"/>
    <n v="119"/>
    <x v="0"/>
  </r>
  <r>
    <s v="ORD098"/>
    <x v="97"/>
    <s v="Anjali Jain"/>
    <x v="4"/>
    <s v="Skincare"/>
    <x v="96"/>
    <x v="2"/>
    <s v="Madhya Pradesh"/>
    <s v="Bhopal"/>
    <x v="0"/>
    <n v="720"/>
    <n v="4"/>
    <n v="0.1"/>
    <n v="86"/>
    <x v="2"/>
  </r>
  <r>
    <s v="ORD099"/>
    <x v="98"/>
    <s v="Deepak Soni"/>
    <x v="2"/>
    <s v="Chocolates"/>
    <x v="97"/>
    <x v="1"/>
    <s v="Maharashtra"/>
    <s v="Mumbai"/>
    <x v="0"/>
    <n v="690"/>
    <n v="5"/>
    <n v="0.05"/>
    <n v="104"/>
    <x v="1"/>
  </r>
  <r>
    <s v="ORD100"/>
    <x v="99"/>
    <s v="Ritu Kapoor"/>
    <x v="3"/>
    <s v="Kitchen"/>
    <x v="98"/>
    <x v="0"/>
    <s v="Delhi"/>
    <s v="New Delhi"/>
    <x v="2"/>
    <n v="980"/>
    <n v="3"/>
    <n v="0.1"/>
    <n v="118"/>
    <x v="0"/>
  </r>
  <r>
    <s v="ORD101"/>
    <x v="100"/>
    <s v="Aman Sharma"/>
    <x v="0"/>
    <s v="Staples"/>
    <x v="20"/>
    <x v="0"/>
    <s v="Haryana"/>
    <s v="Faridabad"/>
    <x v="0"/>
    <n v="1550"/>
    <n v="2"/>
    <n v="0.05"/>
    <n v="233"/>
    <x v="1"/>
  </r>
  <r>
    <s v="ORD102"/>
    <x v="101"/>
    <s v="Priya Gupta"/>
    <x v="1"/>
    <s v="Soft Drinks"/>
    <x v="99"/>
    <x v="0"/>
    <s v="Punjab"/>
    <s v="Ludhiana"/>
    <x v="0"/>
    <n v="450"/>
    <n v="8"/>
    <n v="0.1"/>
    <n v="54"/>
    <x v="2"/>
  </r>
  <r>
    <s v="ORD103"/>
    <x v="102"/>
    <s v="Arjun Patel"/>
    <x v="2"/>
    <s v="Chips"/>
    <x v="100"/>
    <x v="1"/>
    <s v="Gujarat"/>
    <s v="Vadodara"/>
    <x v="1"/>
    <n v="520"/>
    <n v="7"/>
    <n v="0.05"/>
    <n v="78"/>
    <x v="0"/>
  </r>
  <r>
    <s v="ORD104"/>
    <x v="103"/>
    <s v="Nisha Mishra"/>
    <x v="3"/>
    <s v="Cleaning"/>
    <x v="101"/>
    <x v="2"/>
    <s v="Madhya Pradesh"/>
    <s v="Indore"/>
    <x v="0"/>
    <n v="570"/>
    <n v="5"/>
    <n v="0.1"/>
    <n v="68"/>
    <x v="0"/>
  </r>
  <r>
    <s v="ORD105"/>
    <x v="104"/>
    <s v="Rahul Jain"/>
    <x v="0"/>
    <s v="Pulses"/>
    <x v="102"/>
    <x v="1"/>
    <s v="Maharashtra"/>
    <s v="Pune"/>
    <x v="0"/>
    <n v="740"/>
    <n v="4"/>
    <n v="0.05"/>
    <n v="111"/>
    <x v="1"/>
  </r>
  <r>
    <s v="ORD106"/>
    <x v="105"/>
    <s v="Kavita Verma"/>
    <x v="1"/>
    <s v="Juice"/>
    <x v="103"/>
    <x v="0"/>
    <s v="Uttar Pradesh"/>
    <s v="Lucknow"/>
    <x v="2"/>
    <n v="530"/>
    <n v="5"/>
    <n v="0.05"/>
    <n v="80"/>
    <x v="2"/>
  </r>
  <r>
    <s v="ORD107"/>
    <x v="106"/>
    <s v="Ankit Soni"/>
    <x v="4"/>
    <s v="Soap"/>
    <x v="104"/>
    <x v="0"/>
    <s v="Delhi"/>
    <s v="New Delhi"/>
    <x v="0"/>
    <n v="580"/>
    <n v="8"/>
    <n v="0.1"/>
    <n v="70"/>
    <x v="0"/>
  </r>
  <r>
    <s v="ORD108"/>
    <x v="107"/>
    <s v="Riya Shah"/>
    <x v="0"/>
    <s v="Staples"/>
    <x v="105"/>
    <x v="1"/>
    <s v="Gujarat"/>
    <s v="Ahmedabad"/>
    <x v="1"/>
    <n v="460"/>
    <n v="5"/>
    <n v="0.05"/>
    <n v="69"/>
    <x v="1"/>
  </r>
  <r>
    <s v="ORD109"/>
    <x v="108"/>
    <s v="Vikas Jain"/>
    <x v="2"/>
    <s v="Biscuits"/>
    <x v="106"/>
    <x v="2"/>
    <s v="Madhya Pradesh"/>
    <s v="Bhopal"/>
    <x v="0"/>
    <n v="390"/>
    <n v="8"/>
    <n v="0.1"/>
    <n v="47"/>
    <x v="2"/>
  </r>
  <r>
    <s v="ORD110"/>
    <x v="109"/>
    <s v="Neha Kapoor"/>
    <x v="3"/>
    <s v="Kitchen"/>
    <x v="107"/>
    <x v="1"/>
    <s v="Maharashtra"/>
    <s v="Nagpur"/>
    <x v="0"/>
    <n v="620"/>
    <n v="5"/>
    <n v="0.05"/>
    <n v="93"/>
    <x v="0"/>
  </r>
  <r>
    <s v="ORD111"/>
    <x v="110"/>
    <s v="Raj Gupta"/>
    <x v="1"/>
    <s v="Tea"/>
    <x v="108"/>
    <x v="0"/>
    <s v="Haryana"/>
    <s v="Gurugram"/>
    <x v="1"/>
    <n v="690"/>
    <n v="4"/>
    <n v="0.1"/>
    <n v="83"/>
    <x v="1"/>
  </r>
  <r>
    <s v="ORD112"/>
    <x v="111"/>
    <s v="Simran Mehta"/>
    <x v="0"/>
    <s v="Staples"/>
    <x v="109"/>
    <x v="1"/>
    <s v="Rajasthan"/>
    <s v="Jaipur"/>
    <x v="0"/>
    <n v="440"/>
    <n v="5"/>
    <n v="0.05"/>
    <n v="66"/>
    <x v="0"/>
  </r>
  <r>
    <s v="ORD113"/>
    <x v="112"/>
    <s v="Sahil Kumar"/>
    <x v="4"/>
    <s v="Shampoo"/>
    <x v="110"/>
    <x v="2"/>
    <s v="Madhya Pradesh"/>
    <s v="Indore"/>
    <x v="0"/>
    <n v="780"/>
    <n v="3"/>
    <n v="0.1"/>
    <n v="94"/>
    <x v="1"/>
  </r>
  <r>
    <s v="ORD114"/>
    <x v="113"/>
    <s v="Priya Yadav"/>
    <x v="2"/>
    <s v="Namkeen"/>
    <x v="111"/>
    <x v="0"/>
    <s v="Uttar Pradesh"/>
    <s v="Kanpur"/>
    <x v="1"/>
    <n v="510"/>
    <n v="7"/>
    <n v="0.05"/>
    <n v="77"/>
    <x v="2"/>
  </r>
  <r>
    <s v="ORD115"/>
    <x v="114"/>
    <s v="Varun Shah"/>
    <x v="3"/>
    <s v="Cleaning"/>
    <x v="112"/>
    <x v="1"/>
    <s v="Gujarat"/>
    <s v="Surat"/>
    <x v="0"/>
    <n v="470"/>
    <n v="6"/>
    <n v="0.1"/>
    <n v="56"/>
    <x v="0"/>
  </r>
  <r>
    <s v="ORD116"/>
    <x v="115"/>
    <s v="Shweta Rao"/>
    <x v="1"/>
    <s v="Coffee"/>
    <x v="113"/>
    <x v="3"/>
    <s v="Karnataka"/>
    <s v="Bengaluru"/>
    <x v="0"/>
    <n v="840"/>
    <n v="3"/>
    <n v="0.05"/>
    <n v="126"/>
    <x v="1"/>
  </r>
  <r>
    <s v="ORD117"/>
    <x v="116"/>
    <s v="Rohit Patel"/>
    <x v="0"/>
    <s v="Pulses"/>
    <x v="114"/>
    <x v="1"/>
    <s v="Gujarat"/>
    <s v="Ahmedabad"/>
    <x v="1"/>
    <n v="680"/>
    <n v="4"/>
    <n v="0.05"/>
    <n v="102"/>
    <x v="0"/>
  </r>
  <r>
    <s v="ORD118"/>
    <x v="117"/>
    <s v="Ananya Jain"/>
    <x v="4"/>
    <s v="Skincare"/>
    <x v="115"/>
    <x v="2"/>
    <s v="Madhya Pradesh"/>
    <s v="Bhopal"/>
    <x v="0"/>
    <n v="760"/>
    <n v="4"/>
    <n v="0.1"/>
    <n v="91"/>
    <x v="2"/>
  </r>
  <r>
    <s v="ORD119"/>
    <x v="118"/>
    <s v="Manish Soni"/>
    <x v="2"/>
    <s v="Chocolates"/>
    <x v="116"/>
    <x v="1"/>
    <s v="Maharashtra"/>
    <s v="Mumbai"/>
    <x v="0"/>
    <n v="720"/>
    <n v="5"/>
    <n v="0.05"/>
    <n v="108"/>
    <x v="1"/>
  </r>
  <r>
    <s v="ORD120"/>
    <x v="119"/>
    <s v="Komal Kapoor"/>
    <x v="3"/>
    <s v="Kitchen"/>
    <x v="117"/>
    <x v="0"/>
    <s v="Delhi"/>
    <s v="New Delhi"/>
    <x v="2"/>
    <n v="850"/>
    <n v="3"/>
    <n v="0.1"/>
    <n v="102"/>
    <x v="0"/>
  </r>
  <r>
    <s v="ORD121"/>
    <x v="120"/>
    <s v="Ashok Sharma"/>
    <x v="0"/>
    <s v="Staples"/>
    <x v="118"/>
    <x v="0"/>
    <s v="Haryana"/>
    <s v="Faridabad"/>
    <x v="0"/>
    <n v="1190"/>
    <n v="2"/>
    <n v="0.05"/>
    <n v="179"/>
    <x v="1"/>
  </r>
  <r>
    <s v="ORD122"/>
    <x v="121"/>
    <s v="Megha Singh"/>
    <x v="1"/>
    <s v="Soft Drinks"/>
    <x v="119"/>
    <x v="0"/>
    <s v="Punjab"/>
    <s v="Amritsar"/>
    <x v="0"/>
    <n v="480"/>
    <n v="8"/>
    <n v="0.1"/>
    <n v="58"/>
    <x v="2"/>
  </r>
  <r>
    <s v="ORD123"/>
    <x v="122"/>
    <s v="Dev Verma"/>
    <x v="2"/>
    <s v="Chips"/>
    <x v="120"/>
    <x v="1"/>
    <s v="Gujarat"/>
    <s v="Vadodara"/>
    <x v="1"/>
    <n v="530"/>
    <n v="7"/>
    <n v="0.05"/>
    <n v="80"/>
    <x v="0"/>
  </r>
  <r>
    <s v="ORD124"/>
    <x v="123"/>
    <s v="Pooja Mishra"/>
    <x v="3"/>
    <s v="Cleaning"/>
    <x v="121"/>
    <x v="2"/>
    <s v="Madhya Pradesh"/>
    <s v="Indore"/>
    <x v="0"/>
    <n v="650"/>
    <n v="5"/>
    <n v="0.1"/>
    <n v="78"/>
    <x v="0"/>
  </r>
  <r>
    <s v="ORD125"/>
    <x v="124"/>
    <s v="Kunal Jain"/>
    <x v="0"/>
    <s v="Pulses"/>
    <x v="122"/>
    <x v="1"/>
    <s v="Maharashtra"/>
    <s v="Pune"/>
    <x v="0"/>
    <n v="770"/>
    <n v="4"/>
    <n v="0.05"/>
    <n v="116"/>
    <x v="1"/>
  </r>
  <r>
    <s v="ORD126"/>
    <x v="125"/>
    <s v="Shreya Gupta"/>
    <x v="1"/>
    <s v="Juice"/>
    <x v="123"/>
    <x v="0"/>
    <s v="Uttar Pradesh"/>
    <s v="Lucknow"/>
    <x v="2"/>
    <n v="560"/>
    <n v="5"/>
    <n v="0.05"/>
    <n v="84"/>
    <x v="2"/>
  </r>
  <r>
    <s v="ORD127"/>
    <x v="126"/>
    <s v="Rakesh Verma"/>
    <x v="4"/>
    <s v="Soap"/>
    <x v="124"/>
    <x v="0"/>
    <s v="Delhi"/>
    <s v="New Delhi"/>
    <x v="0"/>
    <n v="490"/>
    <n v="8"/>
    <n v="0.1"/>
    <n v="59"/>
    <x v="0"/>
  </r>
  <r>
    <s v="ORD128"/>
    <x v="127"/>
    <s v="Diya Shah"/>
    <x v="0"/>
    <s v="Staples"/>
    <x v="125"/>
    <x v="1"/>
    <s v="Gujarat"/>
    <s v="Ahmedabad"/>
    <x v="1"/>
    <n v="570"/>
    <n v="5"/>
    <n v="0.05"/>
    <n v="86"/>
    <x v="1"/>
  </r>
  <r>
    <s v="ORD129"/>
    <x v="128"/>
    <s v="Amit Soni"/>
    <x v="2"/>
    <s v="Biscuits"/>
    <x v="126"/>
    <x v="2"/>
    <s v="Madhya Pradesh"/>
    <s v="Bhopal"/>
    <x v="0"/>
    <n v="360"/>
    <n v="8"/>
    <n v="0.1"/>
    <n v="43"/>
    <x v="2"/>
  </r>
  <r>
    <s v="ORD130"/>
    <x v="129"/>
    <s v="Nikita Jain"/>
    <x v="3"/>
    <s v="Kitchen"/>
    <x v="127"/>
    <x v="1"/>
    <s v="Maharashtra"/>
    <s v="Nagpur"/>
    <x v="0"/>
    <n v="710"/>
    <n v="4"/>
    <n v="0.05"/>
    <n v="107"/>
    <x v="0"/>
  </r>
  <r>
    <s v="ORD131"/>
    <x v="130"/>
    <s v="Rajiv Gupta"/>
    <x v="1"/>
    <s v="Tea"/>
    <x v="128"/>
    <x v="0"/>
    <s v="Haryana"/>
    <s v="Gurugram"/>
    <x v="1"/>
    <n v="750"/>
    <n v="4"/>
    <n v="0.1"/>
    <n v="90"/>
    <x v="1"/>
  </r>
  <r>
    <s v="ORD132"/>
    <x v="131"/>
    <s v="Swati Mehta"/>
    <x v="0"/>
    <s v="Staples"/>
    <x v="129"/>
    <x v="1"/>
    <s v="Rajasthan"/>
    <s v="Jaipur"/>
    <x v="0"/>
    <n v="480"/>
    <n v="5"/>
    <n v="0.05"/>
    <n v="72"/>
    <x v="0"/>
  </r>
  <r>
    <s v="ORD133"/>
    <x v="132"/>
    <s v="Ashish Kumar"/>
    <x v="4"/>
    <s v="Shampoo"/>
    <x v="130"/>
    <x v="2"/>
    <s v="Madhya Pradesh"/>
    <s v="Indore"/>
    <x v="0"/>
    <n v="690"/>
    <n v="3"/>
    <n v="0.1"/>
    <n v="83"/>
    <x v="1"/>
  </r>
  <r>
    <s v="ORD134"/>
    <x v="133"/>
    <s v="Radhika Yadav"/>
    <x v="2"/>
    <s v="Namkeen"/>
    <x v="131"/>
    <x v="0"/>
    <s v="Uttar Pradesh"/>
    <s v="Kanpur"/>
    <x v="1"/>
    <n v="440"/>
    <n v="7"/>
    <n v="0.05"/>
    <n v="66"/>
    <x v="2"/>
  </r>
  <r>
    <s v="ORD135"/>
    <x v="134"/>
    <s v="Manav Shah"/>
    <x v="3"/>
    <s v="Cleaning"/>
    <x v="132"/>
    <x v="1"/>
    <s v="Gujarat"/>
    <s v="Surat"/>
    <x v="0"/>
    <n v="510"/>
    <n v="5"/>
    <n v="0.1"/>
    <n v="61"/>
    <x v="0"/>
  </r>
  <r>
    <s v="ORD136"/>
    <x v="135"/>
    <s v="Priya Rao"/>
    <x v="1"/>
    <s v="Coffee"/>
    <x v="133"/>
    <x v="3"/>
    <s v="Karnataka"/>
    <s v="Bengaluru"/>
    <x v="0"/>
    <n v="930"/>
    <n v="3"/>
    <n v="0.05"/>
    <n v="140"/>
    <x v="1"/>
  </r>
  <r>
    <s v="ORD137"/>
    <x v="136"/>
    <s v="Vivek Patel"/>
    <x v="0"/>
    <s v="Pulses"/>
    <x v="134"/>
    <x v="1"/>
    <s v="Gujarat"/>
    <s v="Ahmedabad"/>
    <x v="1"/>
    <n v="620"/>
    <n v="4"/>
    <n v="0.05"/>
    <n v="93"/>
    <x v="0"/>
  </r>
  <r>
    <s v="ORD138"/>
    <x v="137"/>
    <s v="Kavya Jain"/>
    <x v="4"/>
    <s v="Skincare"/>
    <x v="135"/>
    <x v="2"/>
    <s v="Madhya Pradesh"/>
    <s v="Bhopal"/>
    <x v="0"/>
    <n v="580"/>
    <n v="4"/>
    <n v="0.1"/>
    <n v="70"/>
    <x v="2"/>
  </r>
  <r>
    <s v="ORD139"/>
    <x v="138"/>
    <s v="Rahul Soni"/>
    <x v="2"/>
    <s v="Chocolates"/>
    <x v="136"/>
    <x v="1"/>
    <s v="Maharashtra"/>
    <s v="Mumbai"/>
    <x v="0"/>
    <n v="760"/>
    <n v="5"/>
    <n v="0.05"/>
    <n v="114"/>
    <x v="1"/>
  </r>
  <r>
    <s v="ORD140"/>
    <x v="139"/>
    <s v="Anjali Kapoor"/>
    <x v="3"/>
    <s v="Kitchen"/>
    <x v="137"/>
    <x v="0"/>
    <s v="Delhi"/>
    <s v="New Delhi"/>
    <x v="2"/>
    <n v="640"/>
    <n v="3"/>
    <n v="0.1"/>
    <n v="77"/>
    <x v="0"/>
  </r>
  <r>
    <s v="ORD141"/>
    <x v="140"/>
    <s v="Deepak Sharma"/>
    <x v="0"/>
    <s v="Staples"/>
    <x v="138"/>
    <x v="0"/>
    <s v="Haryana"/>
    <s v="Faridabad"/>
    <x v="0"/>
    <n v="1370"/>
    <n v="2"/>
    <n v="0.05"/>
    <n v="206"/>
    <x v="1"/>
  </r>
  <r>
    <s v="ORD142"/>
    <x v="141"/>
    <s v="Isha Singh"/>
    <x v="1"/>
    <s v="Soft Drinks"/>
    <x v="139"/>
    <x v="0"/>
    <s v="Punjab"/>
    <s v="Ludhiana"/>
    <x v="0"/>
    <n v="460"/>
    <n v="8"/>
    <n v="0.1"/>
    <n v="55"/>
    <x v="2"/>
  </r>
  <r>
    <s v="ORD143"/>
    <x v="142"/>
    <s v="Harsh Verma"/>
    <x v="2"/>
    <s v="Chips"/>
    <x v="140"/>
    <x v="1"/>
    <s v="Gujarat"/>
    <s v="Vadodara"/>
    <x v="1"/>
    <n v="490"/>
    <n v="7"/>
    <n v="0.05"/>
    <n v="74"/>
    <x v="0"/>
  </r>
  <r>
    <s v="ORD144"/>
    <x v="143"/>
    <s v="Preeti Gupta"/>
    <x v="3"/>
    <s v="Cleaning"/>
    <x v="141"/>
    <x v="2"/>
    <s v="Madhya Pradesh"/>
    <s v="Indore"/>
    <x v="0"/>
    <n v="430"/>
    <n v="5"/>
    <n v="0.1"/>
    <n v="52"/>
    <x v="0"/>
  </r>
  <r>
    <s v="ORD145"/>
    <x v="144"/>
    <s v="Gaurav Jain"/>
    <x v="0"/>
    <s v="Pulses"/>
    <x v="142"/>
    <x v="1"/>
    <s v="Maharashtra"/>
    <s v="Pune"/>
    <x v="0"/>
    <n v="710"/>
    <n v="4"/>
    <n v="0.05"/>
    <n v="107"/>
    <x v="1"/>
  </r>
  <r>
    <s v="ORD146"/>
    <x v="145"/>
    <s v="Riya Verma"/>
    <x v="1"/>
    <s v="Juice"/>
    <x v="143"/>
    <x v="0"/>
    <s v="Uttar Pradesh"/>
    <s v="Lucknow"/>
    <x v="2"/>
    <n v="680"/>
    <n v="5"/>
    <n v="0.05"/>
    <n v="102"/>
    <x v="2"/>
  </r>
  <r>
    <s v="ORD147"/>
    <x v="146"/>
    <s v="Akash Soni"/>
    <x v="4"/>
    <s v="Soap"/>
    <x v="144"/>
    <x v="0"/>
    <s v="Delhi"/>
    <s v="New Delhi"/>
    <x v="0"/>
    <n v="520"/>
    <n v="8"/>
    <n v="0.1"/>
    <n v="62"/>
    <x v="0"/>
  </r>
  <r>
    <s v="ORD148"/>
    <x v="147"/>
    <s v="Simran Shah"/>
    <x v="0"/>
    <s v="Staples"/>
    <x v="145"/>
    <x v="1"/>
    <s v="Gujarat"/>
    <s v="Ahmedabad"/>
    <x v="1"/>
    <n v="620"/>
    <n v="5"/>
    <n v="0.05"/>
    <n v="93"/>
    <x v="1"/>
  </r>
  <r>
    <s v="ORD149"/>
    <x v="148"/>
    <s v="Naveen Jain"/>
    <x v="2"/>
    <s v="Biscuits"/>
    <x v="146"/>
    <x v="2"/>
    <s v="Madhya Pradesh"/>
    <s v="Bhopal"/>
    <x v="0"/>
    <n v="470"/>
    <n v="8"/>
    <n v="0.1"/>
    <n v="56"/>
    <x v="2"/>
  </r>
  <r>
    <s v="ORD150"/>
    <x v="149"/>
    <s v="Pallavi Kapoor"/>
    <x v="3"/>
    <s v="Kitchen"/>
    <x v="147"/>
    <x v="1"/>
    <s v="Maharashtra"/>
    <s v="Nagpur"/>
    <x v="0"/>
    <n v="590"/>
    <n v="4"/>
    <n v="0.05"/>
    <n v="89"/>
    <x v="0"/>
  </r>
  <r>
    <s v="ORD151"/>
    <x v="150"/>
    <s v="Rohan Gupta"/>
    <x v="1"/>
    <s v="Tea"/>
    <x v="148"/>
    <x v="0"/>
    <s v="Haryana"/>
    <s v="Gurugram"/>
    <x v="1"/>
    <n v="720"/>
    <n v="4"/>
    <n v="0.1"/>
    <n v="86"/>
    <x v="1"/>
  </r>
  <r>
    <s v="ORD152"/>
    <x v="151"/>
    <s v="Monika Mehta"/>
    <x v="0"/>
    <s v="Staples"/>
    <x v="149"/>
    <x v="1"/>
    <s v="Rajasthan"/>
    <s v="Jaipur"/>
    <x v="0"/>
    <n v="510"/>
    <n v="5"/>
    <n v="0.05"/>
    <n v="77"/>
    <x v="0"/>
  </r>
  <r>
    <s v="ORD153"/>
    <x v="152"/>
    <s v="Amit Kumar"/>
    <x v="4"/>
    <s v="Shampoo"/>
    <x v="150"/>
    <x v="2"/>
    <s v="Madhya Pradesh"/>
    <s v="Indore"/>
    <x v="0"/>
    <n v="850"/>
    <n v="3"/>
    <n v="0.1"/>
    <n v="102"/>
    <x v="1"/>
  </r>
  <r>
    <s v="ORD154"/>
    <x v="153"/>
    <s v="Neha Yadav"/>
    <x v="2"/>
    <s v="Namkeen"/>
    <x v="151"/>
    <x v="0"/>
    <s v="Uttar Pradesh"/>
    <s v="Kanpur"/>
    <x v="1"/>
    <n v="460"/>
    <n v="7"/>
    <n v="0.05"/>
    <n v="69"/>
    <x v="2"/>
  </r>
  <r>
    <s v="ORD155"/>
    <x v="154"/>
    <s v="Varun Shah"/>
    <x v="3"/>
    <s v="Cleaning"/>
    <x v="152"/>
    <x v="1"/>
    <s v="Gujarat"/>
    <s v="Surat"/>
    <x v="0"/>
    <n v="1050"/>
    <n v="3"/>
    <n v="0.1"/>
    <n v="126"/>
    <x v="0"/>
  </r>
  <r>
    <s v="ORD156"/>
    <x v="155"/>
    <s v="Shalini Rao"/>
    <x v="1"/>
    <s v="Coffee"/>
    <x v="153"/>
    <x v="3"/>
    <s v="Karnataka"/>
    <s v="Bengaluru"/>
    <x v="0"/>
    <n v="780"/>
    <n v="3"/>
    <n v="0.05"/>
    <n v="117"/>
    <x v="1"/>
  </r>
  <r>
    <s v="ORD157"/>
    <x v="156"/>
    <s v="Ravi Patel"/>
    <x v="0"/>
    <s v="Pulses"/>
    <x v="154"/>
    <x v="1"/>
    <s v="Gujarat"/>
    <s v="Ahmedabad"/>
    <x v="1"/>
    <n v="990"/>
    <n v="3"/>
    <n v="0.05"/>
    <n v="149"/>
    <x v="0"/>
  </r>
  <r>
    <s v="ORD158"/>
    <x v="157"/>
    <s v="Ananya Jain"/>
    <x v="4"/>
    <s v="Skincare"/>
    <x v="155"/>
    <x v="2"/>
    <s v="Madhya Pradesh"/>
    <s v="Bhopal"/>
    <x v="0"/>
    <n v="940"/>
    <n v="3"/>
    <n v="0.1"/>
    <n v="113"/>
    <x v="2"/>
  </r>
  <r>
    <s v="ORD159"/>
    <x v="158"/>
    <s v="Sachin Soni"/>
    <x v="2"/>
    <s v="Chocolates"/>
    <x v="156"/>
    <x v="1"/>
    <s v="Maharashtra"/>
    <s v="Mumbai"/>
    <x v="0"/>
    <n v="610"/>
    <n v="5"/>
    <n v="0.05"/>
    <n v="92"/>
    <x v="1"/>
  </r>
  <r>
    <s v="ORD160"/>
    <x v="159"/>
    <s v="Divya Kapoor"/>
    <x v="3"/>
    <s v="Kitchen"/>
    <x v="157"/>
    <x v="0"/>
    <s v="Delhi"/>
    <s v="New Delhi"/>
    <x v="2"/>
    <n v="820"/>
    <n v="4"/>
    <n v="0.1"/>
    <n v="98"/>
    <x v="0"/>
  </r>
  <r>
    <s v="ORD161"/>
    <x v="160"/>
    <s v="Raj Sharma"/>
    <x v="0"/>
    <s v="Staples"/>
    <x v="158"/>
    <x v="0"/>
    <s v="Haryana"/>
    <s v="Faridabad"/>
    <x v="0"/>
    <n v="1410"/>
    <n v="2"/>
    <n v="0.05"/>
    <n v="212"/>
    <x v="1"/>
  </r>
  <r>
    <s v="ORD162"/>
    <x v="161"/>
    <s v="Kriti Singh"/>
    <x v="1"/>
    <s v="Soft Drinks"/>
    <x v="159"/>
    <x v="0"/>
    <s v="Punjab"/>
    <s v="Amritsar"/>
    <x v="0"/>
    <n v="520"/>
    <n v="8"/>
    <n v="0.1"/>
    <n v="62"/>
    <x v="2"/>
  </r>
  <r>
    <s v="ORD163"/>
    <x v="162"/>
    <s v="Dev Patel"/>
    <x v="2"/>
    <s v="Chips"/>
    <x v="160"/>
    <x v="1"/>
    <s v="Gujarat"/>
    <s v="Vadodara"/>
    <x v="1"/>
    <n v="450"/>
    <n v="7"/>
    <n v="0.05"/>
    <n v="68"/>
    <x v="0"/>
  </r>
  <r>
    <s v="ORD164"/>
    <x v="163"/>
    <s v="Shweta Mishra"/>
    <x v="3"/>
    <s v="Cleaning"/>
    <x v="161"/>
    <x v="2"/>
    <s v="Madhya Pradesh"/>
    <s v="Indore"/>
    <x v="0"/>
    <n v="680"/>
    <n v="5"/>
    <n v="0.1"/>
    <n v="82"/>
    <x v="0"/>
  </r>
  <r>
    <s v="ORD165"/>
    <x v="164"/>
    <s v="Rahul Jain"/>
    <x v="0"/>
    <s v="Pulses"/>
    <x v="162"/>
    <x v="1"/>
    <s v="Maharashtra"/>
    <s v="Pune"/>
    <x v="0"/>
    <n v="860"/>
    <n v="4"/>
    <n v="0.05"/>
    <n v="129"/>
    <x v="1"/>
  </r>
  <r>
    <s v="ORD166"/>
    <x v="165"/>
    <s v="Pooja Verma"/>
    <x v="1"/>
    <s v="Juice"/>
    <x v="163"/>
    <x v="0"/>
    <s v="Uttar Pradesh"/>
    <s v="Lucknow"/>
    <x v="2"/>
    <n v="590"/>
    <n v="5"/>
    <n v="0.05"/>
    <n v="89"/>
    <x v="2"/>
  </r>
  <r>
    <s v="ORD167"/>
    <x v="166"/>
    <s v="Ankit Soni"/>
    <x v="4"/>
    <s v="Soap"/>
    <x v="164"/>
    <x v="0"/>
    <s v="Delhi"/>
    <s v="New Delhi"/>
    <x v="0"/>
    <n v="550"/>
    <n v="8"/>
    <n v="0.1"/>
    <n v="66"/>
    <x v="0"/>
  </r>
  <r>
    <s v="ORD168"/>
    <x v="167"/>
    <s v="Riya Shah"/>
    <x v="0"/>
    <s v="Staples"/>
    <x v="165"/>
    <x v="1"/>
    <s v="Gujarat"/>
    <s v="Ahmedabad"/>
    <x v="1"/>
    <n v="980"/>
    <n v="3"/>
    <n v="0.05"/>
    <n v="147"/>
    <x v="1"/>
  </r>
  <r>
    <s v="ORD169"/>
    <x v="168"/>
    <s v="Vikas Jain"/>
    <x v="2"/>
    <s v="Biscuits"/>
    <x v="166"/>
    <x v="2"/>
    <s v="Madhya Pradesh"/>
    <s v="Bhopal"/>
    <x v="0"/>
    <n v="520"/>
    <n v="8"/>
    <n v="0.1"/>
    <n v="62"/>
    <x v="2"/>
  </r>
  <r>
    <s v="ORD170"/>
    <x v="169"/>
    <s v="Nisha Kapoor"/>
    <x v="3"/>
    <s v="Kitchen"/>
    <x v="167"/>
    <x v="1"/>
    <s v="Maharashtra"/>
    <s v="Nagpur"/>
    <x v="0"/>
    <n v="760"/>
    <n v="3"/>
    <n v="0.05"/>
    <n v="114"/>
    <x v="0"/>
  </r>
  <r>
    <s v="ORD171"/>
    <x v="170"/>
    <s v="Raj Gupta"/>
    <x v="1"/>
    <s v="Tea"/>
    <x v="168"/>
    <x v="0"/>
    <s v="Haryana"/>
    <s v="Gurugram"/>
    <x v="1"/>
    <n v="1020"/>
    <n v="3"/>
    <n v="0.1"/>
    <n v="122"/>
    <x v="1"/>
  </r>
  <r>
    <s v="ORD172"/>
    <x v="171"/>
    <s v="Simran Mehta"/>
    <x v="0"/>
    <s v="Staples"/>
    <x v="169"/>
    <x v="1"/>
    <s v="Rajasthan"/>
    <s v="Jaipur"/>
    <x v="0"/>
    <n v="690"/>
    <n v="4"/>
    <n v="0.05"/>
    <n v="104"/>
    <x v="0"/>
  </r>
  <r>
    <s v="ORD173"/>
    <x v="172"/>
    <s v="Ashish Kumar"/>
    <x v="4"/>
    <s v="Shampoo"/>
    <x v="170"/>
    <x v="2"/>
    <s v="Madhya Pradesh"/>
    <s v="Indore"/>
    <x v="0"/>
    <n v="920"/>
    <n v="3"/>
    <n v="0.1"/>
    <n v="110"/>
    <x v="1"/>
  </r>
  <r>
    <s v="ORD174"/>
    <x v="173"/>
    <s v="Radhika Yadav"/>
    <x v="2"/>
    <s v="Namkeen"/>
    <x v="171"/>
    <x v="0"/>
    <s v="Uttar Pradesh"/>
    <s v="Kanpur"/>
    <x v="1"/>
    <n v="530"/>
    <n v="7"/>
    <n v="0.05"/>
    <n v="80"/>
    <x v="2"/>
  </r>
  <r>
    <s v="ORD175"/>
    <x v="174"/>
    <s v="Manav Shah"/>
    <x v="3"/>
    <s v="Cleaning"/>
    <x v="172"/>
    <x v="1"/>
    <s v="Gujarat"/>
    <s v="Surat"/>
    <x v="0"/>
    <n v="580"/>
    <n v="5"/>
    <n v="0.1"/>
    <n v="70"/>
    <x v="0"/>
  </r>
  <r>
    <s v="ORD176"/>
    <x v="175"/>
    <s v="Priya Rao"/>
    <x v="1"/>
    <s v="Coffee"/>
    <x v="173"/>
    <x v="3"/>
    <s v="Karnataka"/>
    <s v="Bengaluru"/>
    <x v="0"/>
    <n v="880"/>
    <n v="3"/>
    <n v="0.05"/>
    <n v="132"/>
    <x v="1"/>
  </r>
  <r>
    <s v="ORD177"/>
    <x v="176"/>
    <s v="Vivek Patel"/>
    <x v="0"/>
    <s v="Pulses"/>
    <x v="174"/>
    <x v="1"/>
    <s v="Gujarat"/>
    <s v="Ahmedabad"/>
    <x v="1"/>
    <n v="750"/>
    <n v="4"/>
    <n v="0.05"/>
    <n v="113"/>
    <x v="0"/>
  </r>
  <r>
    <s v="ORD178"/>
    <x v="177"/>
    <s v="Kavya Jain"/>
    <x v="4"/>
    <s v="Skincare"/>
    <x v="175"/>
    <x v="2"/>
    <s v="Madhya Pradesh"/>
    <s v="Bhopal"/>
    <x v="0"/>
    <n v="640"/>
    <n v="4"/>
    <n v="0.1"/>
    <n v="77"/>
    <x v="2"/>
  </r>
  <r>
    <s v="ORD179"/>
    <x v="178"/>
    <s v="Rahul Soni"/>
    <x v="2"/>
    <s v="Chocolates"/>
    <x v="176"/>
    <x v="1"/>
    <s v="Maharashtra"/>
    <s v="Mumbai"/>
    <x v="0"/>
    <n v="570"/>
    <n v="5"/>
    <n v="0.05"/>
    <n v="86"/>
    <x v="1"/>
  </r>
  <r>
    <s v="ORD180"/>
    <x v="179"/>
    <s v="Anjali Kapoor"/>
    <x v="3"/>
    <s v="Kitchen"/>
    <x v="177"/>
    <x v="0"/>
    <s v="Delhi"/>
    <s v="New Delhi"/>
    <x v="2"/>
    <n v="720"/>
    <n v="3"/>
    <n v="0.1"/>
    <n v="86"/>
    <x v="0"/>
  </r>
  <r>
    <s v="ORD181"/>
    <x v="180"/>
    <s v="Deepak Sharma"/>
    <x v="0"/>
    <s v="Staples"/>
    <x v="178"/>
    <x v="0"/>
    <s v="Haryana"/>
    <s v="Faridabad"/>
    <x v="0"/>
    <n v="1290"/>
    <n v="2"/>
    <n v="0.05"/>
    <n v="194"/>
    <x v="1"/>
  </r>
  <r>
    <s v="ORD182"/>
    <x v="181"/>
    <s v="Isha Singh"/>
    <x v="1"/>
    <s v="Soft Drinks"/>
    <x v="179"/>
    <x v="0"/>
    <s v="Punjab"/>
    <s v="Ludhiana"/>
    <x v="0"/>
    <n v="490"/>
    <n v="8"/>
    <n v="0.1"/>
    <n v="59"/>
    <x v="2"/>
  </r>
  <r>
    <s v="ORD183"/>
    <x v="182"/>
    <s v="Harsh Verma"/>
    <x v="2"/>
    <s v="Chips"/>
    <x v="180"/>
    <x v="1"/>
    <s v="Gujarat"/>
    <s v="Vadodara"/>
    <x v="1"/>
    <n v="470"/>
    <n v="7"/>
    <n v="0.05"/>
    <n v="71"/>
    <x v="0"/>
  </r>
  <r>
    <s v="ORD184"/>
    <x v="183"/>
    <s v="Preeti Gupta"/>
    <x v="3"/>
    <s v="Cleaning"/>
    <x v="181"/>
    <x v="2"/>
    <s v="Madhya Pradesh"/>
    <s v="Indore"/>
    <x v="0"/>
    <n v="610"/>
    <n v="5"/>
    <n v="0.1"/>
    <n v="73"/>
    <x v="0"/>
  </r>
  <r>
    <s v="ORD185"/>
    <x v="184"/>
    <s v="Gaurav Jain"/>
    <x v="0"/>
    <s v="Pulses"/>
    <x v="182"/>
    <x v="1"/>
    <s v="Maharashtra"/>
    <s v="Pune"/>
    <x v="0"/>
    <n v="890"/>
    <n v="4"/>
    <n v="0.05"/>
    <n v="134"/>
    <x v="1"/>
  </r>
  <r>
    <s v="ORD186"/>
    <x v="185"/>
    <s v="Riya Verma"/>
    <x v="1"/>
    <s v="Juice"/>
    <x v="183"/>
    <x v="0"/>
    <s v="Uttar Pradesh"/>
    <s v="Lucknow"/>
    <x v="2"/>
    <n v="650"/>
    <n v="5"/>
    <n v="0.05"/>
    <n v="98"/>
    <x v="2"/>
  </r>
  <r>
    <s v="ORD187"/>
    <x v="186"/>
    <s v="Akash Soni"/>
    <x v="4"/>
    <s v="Soap"/>
    <x v="184"/>
    <x v="0"/>
    <s v="Delhi"/>
    <s v="New Delhi"/>
    <x v="0"/>
    <n v="570"/>
    <n v="8"/>
    <n v="0.1"/>
    <n v="68"/>
    <x v="0"/>
  </r>
  <r>
    <s v="ORD188"/>
    <x v="187"/>
    <s v="Simran Shah"/>
    <x v="0"/>
    <s v="Staples"/>
    <x v="185"/>
    <x v="1"/>
    <s v="Gujarat"/>
    <s v="Ahmedabad"/>
    <x v="1"/>
    <n v="840"/>
    <n v="4"/>
    <n v="0.05"/>
    <n v="126"/>
    <x v="1"/>
  </r>
  <r>
    <s v="ORD189"/>
    <x v="188"/>
    <s v="Naveen Jain"/>
    <x v="2"/>
    <s v="Biscuits"/>
    <x v="186"/>
    <x v="2"/>
    <s v="Madhya Pradesh"/>
    <s v="Bhopal"/>
    <x v="0"/>
    <n v="430"/>
    <n v="8"/>
    <n v="0.1"/>
    <n v="52"/>
    <x v="2"/>
  </r>
  <r>
    <s v="ORD190"/>
    <x v="189"/>
    <s v="Pallavi Kapoor"/>
    <x v="3"/>
    <s v="Kitchen"/>
    <x v="187"/>
    <x v="1"/>
    <s v="Maharashtra"/>
    <s v="Nagpur"/>
    <x v="0"/>
    <n v="650"/>
    <n v="4"/>
    <n v="0.05"/>
    <n v="98"/>
    <x v="0"/>
  </r>
  <r>
    <s v="ORD191"/>
    <x v="190"/>
    <s v="Rohan Gupta"/>
    <x v="1"/>
    <s v="Tea"/>
    <x v="188"/>
    <x v="0"/>
    <s v="Haryana"/>
    <s v="Gurugram"/>
    <x v="1"/>
    <n v="780"/>
    <n v="4"/>
    <n v="0.1"/>
    <n v="94"/>
    <x v="1"/>
  </r>
  <r>
    <s v="ORD192"/>
    <x v="191"/>
    <s v="Monika Mehta"/>
    <x v="0"/>
    <s v="Staples"/>
    <x v="189"/>
    <x v="1"/>
    <s v="Rajasthan"/>
    <s v="Jaipur"/>
    <x v="0"/>
    <n v="920"/>
    <n v="3"/>
    <n v="0.05"/>
    <n v="138"/>
    <x v="0"/>
  </r>
  <r>
    <s v="ORD193"/>
    <x v="192"/>
    <s v="Amit Kumar"/>
    <x v="4"/>
    <s v="Shampoo"/>
    <x v="190"/>
    <x v="2"/>
    <s v="Madhya Pradesh"/>
    <s v="Indore"/>
    <x v="0"/>
    <n v="980"/>
    <n v="3"/>
    <n v="0.1"/>
    <n v="118"/>
    <x v="1"/>
  </r>
  <r>
    <s v="ORD194"/>
    <x v="193"/>
    <s v="Neha Yadav"/>
    <x v="2"/>
    <s v="Namkeen"/>
    <x v="191"/>
    <x v="0"/>
    <s v="Uttar Pradesh"/>
    <s v="Kanpur"/>
    <x v="1"/>
    <n v="490"/>
    <n v="7"/>
    <n v="0.05"/>
    <n v="74"/>
    <x v="2"/>
  </r>
  <r>
    <s v="ORD195"/>
    <x v="194"/>
    <s v="Varun Shah"/>
    <x v="3"/>
    <s v="Cleaning"/>
    <x v="192"/>
    <x v="1"/>
    <s v="Gujarat"/>
    <s v="Surat"/>
    <x v="0"/>
    <n v="1080"/>
    <n v="3"/>
    <n v="0.1"/>
    <n v="130"/>
    <x v="0"/>
  </r>
  <r>
    <s v="ORD196"/>
    <x v="195"/>
    <s v="Shalini Rao"/>
    <x v="1"/>
    <s v="Coffee"/>
    <x v="193"/>
    <x v="3"/>
    <s v="Karnataka"/>
    <s v="Bengaluru"/>
    <x v="0"/>
    <n v="1150"/>
    <n v="2"/>
    <n v="0.05"/>
    <n v="173"/>
    <x v="1"/>
  </r>
  <r>
    <s v="ORD197"/>
    <x v="196"/>
    <s v="Ravi Patel"/>
    <x v="0"/>
    <s v="Pulses"/>
    <x v="194"/>
    <x v="1"/>
    <s v="Gujarat"/>
    <s v="Ahmedabad"/>
    <x v="1"/>
    <n v="830"/>
    <n v="4"/>
    <n v="0.05"/>
    <n v="125"/>
    <x v="0"/>
  </r>
  <r>
    <s v="ORD198"/>
    <x v="197"/>
    <s v="Ananya Jain"/>
    <x v="4"/>
    <s v="Skincare"/>
    <x v="195"/>
    <x v="2"/>
    <s v="Madhya Pradesh"/>
    <s v="Bhopal"/>
    <x v="0"/>
    <n v="1100"/>
    <n v="3"/>
    <n v="0.1"/>
    <n v="132"/>
    <x v="2"/>
  </r>
  <r>
    <s v="ORD199"/>
    <x v="198"/>
    <s v="Sachin Soni"/>
    <x v="2"/>
    <s v="Chocolates"/>
    <x v="196"/>
    <x v="1"/>
    <s v="Maharashtra"/>
    <s v="Mumbai"/>
    <x v="0"/>
    <n v="890"/>
    <n v="5"/>
    <n v="0.05"/>
    <n v="134"/>
    <x v="1"/>
  </r>
  <r>
    <s v="ORD200"/>
    <x v="199"/>
    <s v="Divya Kapoor"/>
    <x v="3"/>
    <s v="Kitchen"/>
    <x v="197"/>
    <x v="0"/>
    <s v="Delhi"/>
    <s v="New Delhi"/>
    <x v="2"/>
    <n v="950"/>
    <n v="3"/>
    <n v="0.1"/>
    <n v="114"/>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5FBDD17-E6DD-4314-A298-9CE2ABEA74A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7">
    <pivotField showAll="0"/>
    <pivotField numFmtId="14" showAll="0">
      <items count="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t="default"/>
      </items>
    </pivotField>
    <pivotField showAll="0"/>
    <pivotField showAll="0"/>
    <pivotField showAll="0"/>
    <pivotField showAll="0"/>
    <pivotField showAll="0">
      <items count="5">
        <item x="2"/>
        <item x="0"/>
        <item x="3"/>
        <item x="1"/>
        <item t="default"/>
      </items>
    </pivotField>
    <pivotField showAll="0"/>
    <pivotField showAll="0"/>
    <pivotField showAll="0"/>
    <pivotField dataField="1" showAll="0"/>
    <pivotField showAll="0"/>
    <pivotField numFmtId="9" showAll="0"/>
    <pivotField showAll="0"/>
    <pivotField showAll="0"/>
    <pivotField showAll="0">
      <items count="15">
        <item x="0"/>
        <item x="1"/>
        <item x="2"/>
        <item x="3"/>
        <item x="4"/>
        <item x="5"/>
        <item x="6"/>
        <item x="7"/>
        <item x="8"/>
        <item x="9"/>
        <item x="10"/>
        <item x="11"/>
        <item x="12"/>
        <item x="13"/>
        <item t="default"/>
      </items>
    </pivotField>
    <pivotField showAll="0">
      <items count="4">
        <item x="0"/>
        <item x="1"/>
        <item x="2"/>
        <item t="default"/>
      </items>
    </pivotField>
  </pivotFields>
  <rowItems count="1">
    <i/>
  </rowItems>
  <colItems count="1">
    <i/>
  </colItems>
  <dataFields count="1">
    <dataField name="Sum of Sales"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B67830D-F423-4DA2-96D4-C977A9E39B72}"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7">
    <pivotField showAll="0"/>
    <pivotField numFmtId="14" showAll="0">
      <items count="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t="default"/>
      </items>
    </pivotField>
    <pivotField showAll="0"/>
    <pivotField showAll="0"/>
    <pivotField showAll="0"/>
    <pivotField showAll="0"/>
    <pivotField showAll="0"/>
    <pivotField showAll="0"/>
    <pivotField showAll="0"/>
    <pivotField showAll="0"/>
    <pivotField showAll="0"/>
    <pivotField showAll="0"/>
    <pivotField numFmtId="9" showAll="0"/>
    <pivotField dataField="1" showAll="0"/>
    <pivotField showAll="0"/>
    <pivotField showAll="0">
      <items count="15">
        <item x="0"/>
        <item x="1"/>
        <item x="2"/>
        <item x="3"/>
        <item x="4"/>
        <item x="5"/>
        <item x="6"/>
        <item x="7"/>
        <item x="8"/>
        <item x="9"/>
        <item x="10"/>
        <item x="11"/>
        <item x="12"/>
        <item x="13"/>
        <item t="default"/>
      </items>
    </pivotField>
    <pivotField showAll="0">
      <items count="4">
        <item x="0"/>
        <item x="1"/>
        <item x="2"/>
        <item t="default"/>
      </items>
    </pivotField>
  </pivotFields>
  <rowItems count="1">
    <i/>
  </rowItems>
  <colItems count="1">
    <i/>
  </colItems>
  <dataFields count="1">
    <dataField name="Sum of Profit" fld="1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D1E3125-26DA-4600-A3CC-441B45D058C7}"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4" firstHeaderRow="0" firstDataRow="1" firstDataCol="0"/>
  <pivotFields count="17">
    <pivotField dataField="1" showAll="0"/>
    <pivotField numFmtId="14" showAll="0">
      <items count="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t="default"/>
      </items>
    </pivotField>
    <pivotField showAll="0"/>
    <pivotField showAll="0"/>
    <pivotField showAll="0"/>
    <pivotField showAll="0"/>
    <pivotField showAll="0">
      <items count="5">
        <item x="2"/>
        <item x="0"/>
        <item x="3"/>
        <item x="1"/>
        <item t="default"/>
      </items>
    </pivotField>
    <pivotField showAll="0"/>
    <pivotField showAll="0"/>
    <pivotField showAll="0"/>
    <pivotField showAll="0"/>
    <pivotField showAll="0"/>
    <pivotField numFmtId="9" showAll="0"/>
    <pivotField showAll="0"/>
    <pivotField showAll="0"/>
    <pivotField showAll="0">
      <items count="15">
        <item x="0"/>
        <item x="1"/>
        <item x="2"/>
        <item x="3"/>
        <item x="4"/>
        <item x="5"/>
        <item x="6"/>
        <item x="7"/>
        <item x="8"/>
        <item x="9"/>
        <item x="10"/>
        <item x="11"/>
        <item x="12"/>
        <item x="13"/>
        <item t="default"/>
      </items>
    </pivotField>
    <pivotField showAll="0">
      <items count="4">
        <item x="0"/>
        <item x="1"/>
        <item x="2"/>
        <item t="default"/>
      </items>
    </pivotField>
  </pivotFields>
  <rowItems count="1">
    <i/>
  </rowItems>
  <colFields count="1">
    <field x="-2"/>
  </colFields>
  <colItems count="2">
    <i>
      <x/>
    </i>
    <i i="1">
      <x v="1"/>
    </i>
  </colItems>
  <dataFields count="2">
    <dataField name="Count of Order ID" fld="0" subtotal="count" baseField="0" baseItem="0"/>
    <dataField name="Count of Order ID2"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88E5BC9-3661-4D3B-AB0D-C93A377E112E}"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7">
    <pivotField showAll="0"/>
    <pivotField numFmtId="14" showAll="0">
      <items count="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t="default"/>
      </items>
    </pivotField>
    <pivotField showAll="0"/>
    <pivotField showAll="0"/>
    <pivotField showAll="0"/>
    <pivotField showAll="0"/>
    <pivotField showAll="0">
      <items count="5">
        <item x="2"/>
        <item x="0"/>
        <item x="3"/>
        <item x="1"/>
        <item t="default"/>
      </items>
    </pivotField>
    <pivotField showAll="0"/>
    <pivotField showAll="0"/>
    <pivotField showAll="0"/>
    <pivotField showAll="0"/>
    <pivotField dataField="1" showAll="0"/>
    <pivotField numFmtId="9" showAll="0"/>
    <pivotField showAll="0"/>
    <pivotField showAll="0"/>
    <pivotField showAll="0">
      <items count="15">
        <item x="0"/>
        <item x="1"/>
        <item x="2"/>
        <item x="3"/>
        <item x="4"/>
        <item x="5"/>
        <item x="6"/>
        <item x="7"/>
        <item x="8"/>
        <item x="9"/>
        <item x="10"/>
        <item x="11"/>
        <item x="12"/>
        <item x="13"/>
        <item t="default"/>
      </items>
    </pivotField>
    <pivotField showAll="0">
      <items count="4">
        <item x="0"/>
        <item x="1"/>
        <item x="2"/>
        <item t="default"/>
      </items>
    </pivotField>
  </pivotFields>
  <rowItems count="1">
    <i/>
  </rowItems>
  <colItems count="1">
    <i/>
  </colItems>
  <dataFields count="1">
    <dataField name="Sum of Quantity"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52DD4B7-1A8F-4FD9-8A41-1A635155DD11}"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9" firstHeaderRow="1" firstDataRow="1" firstDataCol="1"/>
  <pivotFields count="17">
    <pivotField showAll="0"/>
    <pivotField numFmtId="14" showAll="0">
      <items count="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t="default"/>
      </items>
    </pivotField>
    <pivotField showAll="0"/>
    <pivotField axis="axisRow" showAll="0">
      <items count="6">
        <item x="1"/>
        <item x="0"/>
        <item x="3"/>
        <item x="4"/>
        <item x="2"/>
        <item t="default"/>
      </items>
    </pivotField>
    <pivotField showAll="0"/>
    <pivotField showAll="0"/>
    <pivotField showAll="0">
      <items count="5">
        <item x="2"/>
        <item x="0"/>
        <item x="3"/>
        <item x="1"/>
        <item t="default"/>
      </items>
    </pivotField>
    <pivotField showAll="0"/>
    <pivotField showAll="0"/>
    <pivotField showAll="0"/>
    <pivotField dataField="1" showAll="0"/>
    <pivotField showAll="0"/>
    <pivotField numFmtId="9" showAll="0"/>
    <pivotField showAll="0"/>
    <pivotField showAll="0"/>
    <pivotField showAll="0">
      <items count="15">
        <item x="0"/>
        <item x="1"/>
        <item x="2"/>
        <item x="3"/>
        <item x="4"/>
        <item x="5"/>
        <item x="6"/>
        <item x="7"/>
        <item x="8"/>
        <item x="9"/>
        <item x="10"/>
        <item x="11"/>
        <item x="12"/>
        <item x="13"/>
        <item t="default"/>
      </items>
    </pivotField>
    <pivotField showAll="0">
      <items count="4">
        <item x="0"/>
        <item x="1"/>
        <item x="2"/>
        <item t="default"/>
      </items>
    </pivotField>
  </pivotFields>
  <rowFields count="1">
    <field x="3"/>
  </rowFields>
  <rowItems count="6">
    <i>
      <x/>
    </i>
    <i>
      <x v="1"/>
    </i>
    <i>
      <x v="2"/>
    </i>
    <i>
      <x v="3"/>
    </i>
    <i>
      <x v="4"/>
    </i>
    <i t="grand">
      <x/>
    </i>
  </rowItems>
  <colItems count="1">
    <i/>
  </colItems>
  <dataFields count="1">
    <dataField name="Sum of Sales" fld="10"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1230484-4A78-4446-9594-FD2EBCD0CB9C}"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8" firstHeaderRow="1" firstDataRow="1" firstDataCol="1"/>
  <pivotFields count="17">
    <pivotField showAll="0"/>
    <pivotField numFmtId="14" showAll="0">
      <items count="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t="default"/>
      </items>
    </pivotField>
    <pivotField showAll="0"/>
    <pivotField showAll="0"/>
    <pivotField showAll="0"/>
    <pivotField showAll="0"/>
    <pivotField axis="axisRow" showAll="0">
      <items count="5">
        <item x="2"/>
        <item x="0"/>
        <item x="3"/>
        <item x="1"/>
        <item t="default"/>
      </items>
    </pivotField>
    <pivotField showAll="0"/>
    <pivotField showAll="0"/>
    <pivotField showAll="0"/>
    <pivotField dataField="1" showAll="0"/>
    <pivotField showAll="0"/>
    <pivotField numFmtId="9" showAll="0"/>
    <pivotField showAll="0"/>
    <pivotField showAll="0"/>
    <pivotField showAll="0">
      <items count="15">
        <item x="0"/>
        <item x="1"/>
        <item x="2"/>
        <item x="3"/>
        <item x="4"/>
        <item x="5"/>
        <item x="6"/>
        <item x="7"/>
        <item x="8"/>
        <item x="9"/>
        <item x="10"/>
        <item x="11"/>
        <item x="12"/>
        <item x="13"/>
        <item t="default"/>
      </items>
    </pivotField>
    <pivotField showAll="0">
      <items count="4">
        <item x="0"/>
        <item x="1"/>
        <item x="2"/>
        <item t="default"/>
      </items>
    </pivotField>
  </pivotFields>
  <rowFields count="1">
    <field x="6"/>
  </rowFields>
  <rowItems count="5">
    <i>
      <x/>
    </i>
    <i>
      <x v="1"/>
    </i>
    <i>
      <x v="2"/>
    </i>
    <i>
      <x v="3"/>
    </i>
    <i t="grand">
      <x/>
    </i>
  </rowItems>
  <colItems count="1">
    <i/>
  </colItems>
  <dataFields count="1">
    <dataField name="Sum of Sales" fld="10"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D4D5D47-8218-4FFC-9A7F-301C6D01AA5B}"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2" firstHeaderRow="1" firstDataRow="1" firstDataCol="1"/>
  <pivotFields count="17">
    <pivotField showAll="0"/>
    <pivotField numFmtId="14" showAll="0">
      <items count="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t="default"/>
      </items>
    </pivotField>
    <pivotField showAll="0"/>
    <pivotField showAll="0"/>
    <pivotField showAll="0"/>
    <pivotField showAll="0"/>
    <pivotField showAll="0">
      <items count="5">
        <item x="2"/>
        <item x="0"/>
        <item x="3"/>
        <item x="1"/>
        <item t="default"/>
      </items>
    </pivotField>
    <pivotField showAll="0"/>
    <pivotField showAll="0"/>
    <pivotField showAll="0"/>
    <pivotField dataField="1" showAll="0"/>
    <pivotField showAll="0"/>
    <pivotField numFmtId="9" showAll="0"/>
    <pivotField showAll="0"/>
    <pivotField showAll="0"/>
    <pivotField axis="axisRow" showAll="0">
      <items count="15">
        <item x="0"/>
        <item x="1"/>
        <item x="2"/>
        <item x="3"/>
        <item x="4"/>
        <item x="5"/>
        <item x="6"/>
        <item x="7"/>
        <item x="8"/>
        <item x="9"/>
        <item x="10"/>
        <item x="11"/>
        <item x="12"/>
        <item x="13"/>
        <item t="default"/>
      </items>
    </pivotField>
    <pivotField axis="axisRow" showAll="0">
      <items count="4">
        <item x="0"/>
        <item x="1"/>
        <item x="2"/>
        <item t="default"/>
      </items>
    </pivotField>
  </pivotFields>
  <rowFields count="2">
    <field x="16"/>
    <field x="15"/>
  </rowFields>
  <rowItems count="9">
    <i>
      <x v="1"/>
    </i>
    <i r="1">
      <x v="1"/>
    </i>
    <i r="1">
      <x v="2"/>
    </i>
    <i r="1">
      <x v="3"/>
    </i>
    <i r="1">
      <x v="4"/>
    </i>
    <i r="1">
      <x v="5"/>
    </i>
    <i r="1">
      <x v="6"/>
    </i>
    <i r="1">
      <x v="7"/>
    </i>
    <i t="grand">
      <x/>
    </i>
  </rowItems>
  <colItems count="1">
    <i/>
  </colItems>
  <dataFields count="1">
    <dataField name="Sum of Sales" fld="10"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82D9098-1885-4208-B013-00B7E82547C3}"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7" firstHeaderRow="1" firstDataRow="1" firstDataCol="1"/>
  <pivotFields count="17">
    <pivotField showAll="0"/>
    <pivotField numFmtId="14" showAll="0">
      <items count="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t="default"/>
      </items>
    </pivotField>
    <pivotField showAll="0"/>
    <pivotField showAll="0"/>
    <pivotField showAll="0"/>
    <pivotField showAll="0"/>
    <pivotField showAll="0">
      <items count="5">
        <item x="2"/>
        <item x="0"/>
        <item x="3"/>
        <item x="1"/>
        <item t="default"/>
      </items>
    </pivotField>
    <pivotField showAll="0"/>
    <pivotField showAll="0"/>
    <pivotField axis="axisRow" showAll="0">
      <items count="4">
        <item x="0"/>
        <item x="1"/>
        <item x="2"/>
        <item t="default"/>
      </items>
    </pivotField>
    <pivotField dataField="1" showAll="0"/>
    <pivotField showAll="0"/>
    <pivotField numFmtId="9" showAll="0"/>
    <pivotField showAll="0"/>
    <pivotField showAll="0"/>
    <pivotField showAll="0" defaultSubtotal="0"/>
    <pivotField showAll="0" defaultSubtotal="0">
      <items count="3">
        <item x="0"/>
        <item x="1"/>
        <item x="2"/>
      </items>
    </pivotField>
  </pivotFields>
  <rowFields count="1">
    <field x="9"/>
  </rowFields>
  <rowItems count="4">
    <i>
      <x/>
    </i>
    <i>
      <x v="1"/>
    </i>
    <i>
      <x v="2"/>
    </i>
    <i t="grand">
      <x/>
    </i>
  </rowItems>
  <colItems count="1">
    <i/>
  </colItems>
  <dataFields count="1">
    <dataField name="Sum of Sales" fld="10" baseField="0" baseItem="0"/>
  </dataFields>
  <chartFormats count="8">
    <chartFormat chart="0"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9" count="1" selected="0">
            <x v="0"/>
          </reference>
        </references>
      </pivotArea>
    </chartFormat>
    <chartFormat chart="3" format="7">
      <pivotArea type="data" outline="0" fieldPosition="0">
        <references count="2">
          <reference field="4294967294" count="1" selected="0">
            <x v="0"/>
          </reference>
          <reference field="9" count="1" selected="0">
            <x v="1"/>
          </reference>
        </references>
      </pivotArea>
    </chartFormat>
    <chartFormat chart="3" format="8">
      <pivotArea type="data" outline="0" fieldPosition="0">
        <references count="2">
          <reference field="4294967294" count="1" selected="0">
            <x v="0"/>
          </reference>
          <reference field="9" count="1" selected="0">
            <x v="2"/>
          </reference>
        </references>
      </pivotArea>
    </chartFormat>
    <chartFormat chart="0" format="1">
      <pivotArea type="data" outline="0" fieldPosition="0">
        <references count="2">
          <reference field="4294967294" count="1" selected="0">
            <x v="0"/>
          </reference>
          <reference field="9" count="1" selected="0">
            <x v="0"/>
          </reference>
        </references>
      </pivotArea>
    </chartFormat>
    <chartFormat chart="0" format="2">
      <pivotArea type="data" outline="0" fieldPosition="0">
        <references count="2">
          <reference field="4294967294" count="1" selected="0">
            <x v="0"/>
          </reference>
          <reference field="9" count="1" selected="0">
            <x v="1"/>
          </reference>
        </references>
      </pivotArea>
    </chartFormat>
    <chartFormat chart="0" format="3">
      <pivotArea type="data" outline="0" fieldPosition="0">
        <references count="2">
          <reference field="4294967294" count="1" selected="0">
            <x v="0"/>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F7F54D3-075A-46EA-9FC9-15FAA1B388B5}"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9" firstHeaderRow="1" firstDataRow="1" firstDataCol="1"/>
  <pivotFields count="17">
    <pivotField showAll="0"/>
    <pivotField numFmtId="14" showAll="0">
      <items count="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t="default"/>
      </items>
    </pivotField>
    <pivotField showAll="0"/>
    <pivotField axis="axisRow" showAll="0">
      <items count="6">
        <item x="1"/>
        <item x="0"/>
        <item x="3"/>
        <item x="4"/>
        <item x="2"/>
        <item t="default"/>
      </items>
    </pivotField>
    <pivotField showAll="0"/>
    <pivotField showAll="0"/>
    <pivotField showAll="0">
      <items count="5">
        <item x="2"/>
        <item x="0"/>
        <item x="3"/>
        <item x="1"/>
        <item t="default"/>
      </items>
    </pivotField>
    <pivotField showAll="0"/>
    <pivotField showAll="0"/>
    <pivotField showAll="0"/>
    <pivotField showAll="0"/>
    <pivotField showAll="0"/>
    <pivotField numFmtId="9" showAll="0"/>
    <pivotField dataField="1" showAll="0"/>
    <pivotField showAll="0"/>
    <pivotField showAll="0" defaultSubtotal="0"/>
    <pivotField showAll="0" defaultSubtotal="0">
      <items count="3">
        <item x="0"/>
        <item x="1"/>
        <item x="2"/>
      </items>
    </pivotField>
  </pivotFields>
  <rowFields count="1">
    <field x="3"/>
  </rowFields>
  <rowItems count="6">
    <i>
      <x/>
    </i>
    <i>
      <x v="1"/>
    </i>
    <i>
      <x v="2"/>
    </i>
    <i>
      <x v="3"/>
    </i>
    <i>
      <x v="4"/>
    </i>
    <i t="grand">
      <x/>
    </i>
  </rowItems>
  <colItems count="1">
    <i/>
  </colItems>
  <dataFields count="1">
    <dataField name="Sum of Profit" fld="13"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CC7CD04-5E28-4BE3-A9AA-7105B5C47F12}"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5" firstHeaderRow="1" firstDataRow="1" firstDataCol="1"/>
  <pivotFields count="17">
    <pivotField showAll="0"/>
    <pivotField numFmtId="14" showAll="0">
      <items count="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t="default"/>
      </items>
    </pivotField>
    <pivotField showAll="0"/>
    <pivotField showAll="0"/>
    <pivotField showAll="0"/>
    <pivotField axis="axisRow" showAll="0" measureFilter="1">
      <items count="199">
        <item x="166"/>
        <item x="136"/>
        <item x="189"/>
        <item x="175"/>
        <item x="73"/>
        <item x="19"/>
        <item x="195"/>
        <item x="52"/>
        <item x="25"/>
        <item x="159"/>
        <item x="94"/>
        <item x="56"/>
        <item x="70"/>
        <item x="71"/>
        <item x="109"/>
        <item x="22"/>
        <item x="149"/>
        <item x="20"/>
        <item x="6"/>
        <item x="63"/>
        <item x="181"/>
        <item x="66"/>
        <item x="67"/>
        <item x="33"/>
        <item x="95"/>
        <item x="37"/>
        <item x="115"/>
        <item x="158"/>
        <item x="48"/>
        <item x="156"/>
        <item x="128"/>
        <item x="146"/>
        <item x="97"/>
        <item x="93"/>
        <item x="24"/>
        <item x="144"/>
        <item x="100"/>
        <item x="185"/>
        <item x="174"/>
        <item x="151"/>
        <item x="106"/>
        <item x="76"/>
        <item x="160"/>
        <item x="153"/>
        <item x="49"/>
        <item x="126"/>
        <item x="15"/>
        <item x="1"/>
        <item x="81"/>
        <item x="173"/>
        <item x="75"/>
        <item x="32"/>
        <item x="62"/>
        <item x="47"/>
        <item x="28"/>
        <item x="137"/>
        <item x="191"/>
        <item x="168"/>
        <item x="90"/>
        <item x="18"/>
        <item x="112"/>
        <item x="192"/>
        <item x="54"/>
        <item x="88"/>
        <item x="9"/>
        <item x="121"/>
        <item x="188"/>
        <item x="34"/>
        <item x="96"/>
        <item x="17"/>
        <item x="55"/>
        <item x="3"/>
        <item x="161"/>
        <item x="69"/>
        <item x="176"/>
        <item x="61"/>
        <item x="148"/>
        <item x="23"/>
        <item x="187"/>
        <item x="147"/>
        <item x="87"/>
        <item x="45"/>
        <item x="179"/>
        <item x="114"/>
        <item x="30"/>
        <item x="103"/>
        <item x="72"/>
        <item x="92"/>
        <item x="12"/>
        <item x="135"/>
        <item x="86"/>
        <item x="26"/>
        <item x="116"/>
        <item x="133"/>
        <item x="110"/>
        <item x="164"/>
        <item x="186"/>
        <item x="35"/>
        <item x="60"/>
        <item x="139"/>
        <item x="129"/>
        <item x="64"/>
        <item x="190"/>
        <item x="130"/>
        <item x="101"/>
        <item x="172"/>
        <item x="89"/>
        <item x="197"/>
        <item x="29"/>
        <item x="183"/>
        <item x="14"/>
        <item x="184"/>
        <item x="41"/>
        <item x="108"/>
        <item x="132"/>
        <item x="74"/>
        <item x="46"/>
        <item x="79"/>
        <item x="27"/>
        <item x="5"/>
        <item x="119"/>
        <item x="8"/>
        <item x="120"/>
        <item x="50"/>
        <item x="36"/>
        <item x="162"/>
        <item x="131"/>
        <item x="38"/>
        <item x="102"/>
        <item x="85"/>
        <item x="194"/>
        <item x="13"/>
        <item x="113"/>
        <item x="57"/>
        <item x="104"/>
        <item x="16"/>
        <item x="182"/>
        <item x="142"/>
        <item x="83"/>
        <item x="169"/>
        <item x="91"/>
        <item x="42"/>
        <item x="124"/>
        <item x="155"/>
        <item x="68"/>
        <item x="145"/>
        <item x="163"/>
        <item x="21"/>
        <item x="40"/>
        <item x="170"/>
        <item x="118"/>
        <item x="111"/>
        <item x="82"/>
        <item x="141"/>
        <item x="65"/>
        <item x="59"/>
        <item x="143"/>
        <item x="2"/>
        <item x="196"/>
        <item x="193"/>
        <item x="150"/>
        <item x="165"/>
        <item x="125"/>
        <item x="84"/>
        <item x="51"/>
        <item x="138"/>
        <item x="0"/>
        <item x="105"/>
        <item x="127"/>
        <item x="177"/>
        <item x="53"/>
        <item x="99"/>
        <item x="80"/>
        <item x="31"/>
        <item x="134"/>
        <item x="117"/>
        <item x="167"/>
        <item x="140"/>
        <item x="171"/>
        <item x="157"/>
        <item x="98"/>
        <item x="178"/>
        <item x="39"/>
        <item x="11"/>
        <item x="77"/>
        <item x="10"/>
        <item x="43"/>
        <item x="180"/>
        <item x="4"/>
        <item x="154"/>
        <item x="44"/>
        <item x="58"/>
        <item x="152"/>
        <item x="107"/>
        <item x="123"/>
        <item x="7"/>
        <item x="122"/>
        <item x="78"/>
        <item t="default"/>
      </items>
    </pivotField>
    <pivotField showAll="0">
      <items count="5">
        <item x="2"/>
        <item x="0"/>
        <item x="3"/>
        <item x="1"/>
        <item t="default"/>
      </items>
    </pivotField>
    <pivotField showAll="0"/>
    <pivotField showAll="0"/>
    <pivotField showAll="0"/>
    <pivotField dataField="1" showAll="0"/>
    <pivotField showAll="0"/>
    <pivotField numFmtId="9" showAll="0"/>
    <pivotField showAll="0"/>
    <pivotField showAll="0"/>
    <pivotField showAll="0" defaultSubtotal="0"/>
    <pivotField showAll="0" defaultSubtotal="0">
      <items count="3">
        <item x="0"/>
        <item x="1"/>
        <item x="2"/>
      </items>
    </pivotField>
  </pivotFields>
  <rowFields count="1">
    <field x="5"/>
  </rowFields>
  <rowItems count="12">
    <i>
      <x v="17"/>
    </i>
    <i>
      <x v="27"/>
    </i>
    <i>
      <x v="98"/>
    </i>
    <i>
      <x v="110"/>
    </i>
    <i>
      <x v="148"/>
    </i>
    <i>
      <x v="150"/>
    </i>
    <i>
      <x v="159"/>
    </i>
    <i>
      <x v="165"/>
    </i>
    <i>
      <x v="166"/>
    </i>
    <i>
      <x v="172"/>
    </i>
    <i>
      <x v="181"/>
    </i>
    <i t="grand">
      <x/>
    </i>
  </rowItems>
  <colItems count="1">
    <i/>
  </colItems>
  <dataFields count="1">
    <dataField name="Sum of Sales" fld="10"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D188470-2B35-4FAC-BA77-7ED3089E8319}"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7" firstHeaderRow="1" firstDataRow="1" firstDataCol="1"/>
  <pivotFields count="17">
    <pivotField showAll="0"/>
    <pivotField numFmtId="14" showAll="0">
      <items count="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t="default"/>
      </items>
    </pivotField>
    <pivotField showAll="0"/>
    <pivotField showAll="0">
      <items count="6">
        <item x="1"/>
        <item x="0"/>
        <item x="3"/>
        <item x="4"/>
        <item x="2"/>
        <item t="default"/>
      </items>
    </pivotField>
    <pivotField showAll="0"/>
    <pivotField showAll="0"/>
    <pivotField showAll="0">
      <items count="5">
        <item x="2"/>
        <item x="0"/>
        <item x="3"/>
        <item x="1"/>
        <item t="default"/>
      </items>
    </pivotField>
    <pivotField showAll="0"/>
    <pivotField showAll="0"/>
    <pivotField showAll="0">
      <items count="4">
        <item x="0"/>
        <item x="1"/>
        <item x="2"/>
        <item t="default"/>
      </items>
    </pivotField>
    <pivotField dataField="1" showAll="0"/>
    <pivotField showAll="0"/>
    <pivotField numFmtId="9" showAll="0"/>
    <pivotField showAll="0"/>
    <pivotField axis="axisRow" showAll="0">
      <items count="4">
        <item x="1"/>
        <item x="2"/>
        <item x="0"/>
        <item t="default"/>
      </items>
    </pivotField>
    <pivotField showAll="0" defaultSubtotal="0"/>
    <pivotField showAll="0" defaultSubtotal="0">
      <items count="3">
        <item x="0"/>
        <item x="1"/>
        <item x="2"/>
      </items>
    </pivotField>
  </pivotFields>
  <rowFields count="1">
    <field x="14"/>
  </rowFields>
  <rowItems count="4">
    <i>
      <x/>
    </i>
    <i>
      <x v="1"/>
    </i>
    <i>
      <x v="2"/>
    </i>
    <i t="grand">
      <x/>
    </i>
  </rowItems>
  <colItems count="1">
    <i/>
  </colItems>
  <dataFields count="1">
    <dataField name="Sum of Sales" fld="10" baseField="0" baseItem="0"/>
  </dataField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4" count="1" selected="0">
            <x v="0"/>
          </reference>
        </references>
      </pivotArea>
    </chartFormat>
    <chartFormat chart="0" format="2">
      <pivotArea type="data" outline="0" fieldPosition="0">
        <references count="2">
          <reference field="4294967294" count="1" selected="0">
            <x v="0"/>
          </reference>
          <reference field="14" count="1" selected="0">
            <x v="1"/>
          </reference>
        </references>
      </pivotArea>
    </chartFormat>
    <chartFormat chart="0" format="3">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6CF2A2BB-1B2A-46EA-A8A1-FD52FA07A879}"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3:I4" firstHeaderRow="1" firstDataRow="1" firstDataCol="0"/>
  <pivotFields count="17">
    <pivotField showAll="0"/>
    <pivotField numFmtId="14" showAll="0">
      <items count="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t="default"/>
      </items>
    </pivotField>
    <pivotField showAll="0"/>
    <pivotField showAll="0"/>
    <pivotField showAll="0"/>
    <pivotField showAll="0"/>
    <pivotField showAll="0">
      <items count="5">
        <item x="2"/>
        <item x="0"/>
        <item x="3"/>
        <item x="1"/>
        <item t="default"/>
      </items>
    </pivotField>
    <pivotField showAll="0"/>
    <pivotField showAll="0"/>
    <pivotField showAll="0"/>
    <pivotField showAll="0"/>
    <pivotField dataField="1" showAll="0"/>
    <pivotField numFmtId="9" showAll="0"/>
    <pivotField showAll="0"/>
    <pivotField showAll="0"/>
    <pivotField showAll="0">
      <items count="15">
        <item x="0"/>
        <item x="1"/>
        <item x="2"/>
        <item x="3"/>
        <item x="4"/>
        <item x="5"/>
        <item x="6"/>
        <item x="7"/>
        <item x="8"/>
        <item x="9"/>
        <item x="10"/>
        <item x="11"/>
        <item x="12"/>
        <item x="13"/>
        <item t="default"/>
      </items>
    </pivotField>
    <pivotField showAll="0">
      <items count="4">
        <item x="0"/>
        <item x="1"/>
        <item x="2"/>
        <item t="default"/>
      </items>
    </pivotField>
  </pivotFields>
  <rowItems count="1">
    <i/>
  </rowItems>
  <colItems count="1">
    <i/>
  </colItems>
  <dataFields count="1">
    <dataField name="Sum of Quantity" fld="11" baseField="0" baseItem="0"/>
  </dataFields>
  <formats count="3">
    <format dxfId="5">
      <pivotArea type="all" dataOnly="0" outline="0" fieldPosition="0"/>
    </format>
    <format dxfId="4">
      <pivotArea outline="0" collapsedLevelsAreSubtotals="1" fieldPosition="0"/>
    </format>
    <format dxfId="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48277369-8E43-4E89-865A-E4E61689FABE}"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F4" firstHeaderRow="0" firstDataRow="1" firstDataCol="0"/>
  <pivotFields count="17">
    <pivotField dataField="1" showAll="0"/>
    <pivotField numFmtId="14" showAll="0">
      <items count="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t="default"/>
      </items>
    </pivotField>
    <pivotField showAll="0"/>
    <pivotField showAll="0"/>
    <pivotField showAll="0"/>
    <pivotField showAll="0"/>
    <pivotField showAll="0">
      <items count="5">
        <item x="2"/>
        <item x="0"/>
        <item x="3"/>
        <item x="1"/>
        <item t="default"/>
      </items>
    </pivotField>
    <pivotField showAll="0"/>
    <pivotField showAll="0"/>
    <pivotField showAll="0"/>
    <pivotField showAll="0"/>
    <pivotField showAll="0"/>
    <pivotField numFmtId="9" showAll="0"/>
    <pivotField showAll="0"/>
    <pivotField showAll="0"/>
    <pivotField showAll="0">
      <items count="15">
        <item x="0"/>
        <item x="1"/>
        <item x="2"/>
        <item x="3"/>
        <item x="4"/>
        <item x="5"/>
        <item x="6"/>
        <item x="7"/>
        <item x="8"/>
        <item x="9"/>
        <item x="10"/>
        <item x="11"/>
        <item x="12"/>
        <item x="13"/>
        <item t="default"/>
      </items>
    </pivotField>
    <pivotField showAll="0">
      <items count="4">
        <item x="0"/>
        <item x="1"/>
        <item x="2"/>
        <item t="default"/>
      </items>
    </pivotField>
  </pivotFields>
  <rowItems count="1">
    <i/>
  </rowItems>
  <colFields count="1">
    <field x="-2"/>
  </colFields>
  <colItems count="2">
    <i>
      <x/>
    </i>
    <i i="1">
      <x v="1"/>
    </i>
  </colItems>
  <dataFields count="2">
    <dataField name="Count of Order ID" fld="0" subtotal="count" baseField="0" baseItem="0"/>
    <dataField name="Count of Order ID2" fld="0" subtotal="count" baseField="0" baseItem="0"/>
  </dataFields>
  <formats count="3">
    <format dxfId="8">
      <pivotArea type="all" dataOnly="0" outline="0" fieldPosition="0"/>
    </format>
    <format dxfId="7">
      <pivotArea outline="0" collapsedLevelsAreSubtotals="1" fieldPosition="0"/>
    </format>
    <format dxfId="6">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FA0225C2-778E-4C5F-9164-104971F7C15F}"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C4" firstHeaderRow="1" firstDataRow="1" firstDataCol="0"/>
  <pivotFields count="17">
    <pivotField showAll="0"/>
    <pivotField numFmtId="14" showAll="0">
      <items count="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t="default"/>
      </items>
    </pivotField>
    <pivotField showAll="0"/>
    <pivotField showAll="0"/>
    <pivotField showAll="0"/>
    <pivotField showAll="0"/>
    <pivotField showAll="0"/>
    <pivotField showAll="0"/>
    <pivotField showAll="0"/>
    <pivotField showAll="0"/>
    <pivotField showAll="0"/>
    <pivotField showAll="0"/>
    <pivotField numFmtId="9" showAll="0"/>
    <pivotField dataField="1" showAll="0"/>
    <pivotField showAll="0"/>
    <pivotField showAll="0">
      <items count="15">
        <item x="0"/>
        <item x="1"/>
        <item x="2"/>
        <item x="3"/>
        <item x="4"/>
        <item x="5"/>
        <item x="6"/>
        <item x="7"/>
        <item x="8"/>
        <item x="9"/>
        <item x="10"/>
        <item x="11"/>
        <item x="12"/>
        <item x="13"/>
        <item t="default"/>
      </items>
    </pivotField>
    <pivotField showAll="0">
      <items count="4">
        <item x="0"/>
        <item x="1"/>
        <item x="2"/>
        <item t="default"/>
      </items>
    </pivotField>
  </pivotFields>
  <rowItems count="1">
    <i/>
  </rowItems>
  <colItems count="1">
    <i/>
  </colItems>
  <dataFields count="1">
    <dataField name="Sum of Profit" fld="1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B1CAD919-D6CE-4AF8-A863-A87A9C5C14C7}"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7">
    <pivotField showAll="0"/>
    <pivotField numFmtId="14" showAll="0">
      <items count="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t="default"/>
      </items>
    </pivotField>
    <pivotField showAll="0"/>
    <pivotField showAll="0"/>
    <pivotField showAll="0"/>
    <pivotField showAll="0"/>
    <pivotField showAll="0">
      <items count="5">
        <item x="2"/>
        <item x="0"/>
        <item x="3"/>
        <item x="1"/>
        <item t="default"/>
      </items>
    </pivotField>
    <pivotField showAll="0"/>
    <pivotField showAll="0"/>
    <pivotField showAll="0"/>
    <pivotField dataField="1" showAll="0"/>
    <pivotField showAll="0"/>
    <pivotField numFmtId="9" showAll="0"/>
    <pivotField showAll="0"/>
    <pivotField showAll="0"/>
    <pivotField showAll="0">
      <items count="15">
        <item x="0"/>
        <item x="1"/>
        <item x="2"/>
        <item x="3"/>
        <item x="4"/>
        <item x="5"/>
        <item x="6"/>
        <item x="7"/>
        <item x="8"/>
        <item x="9"/>
        <item x="10"/>
        <item x="11"/>
        <item x="12"/>
        <item x="13"/>
        <item t="default"/>
      </items>
    </pivotField>
    <pivotField showAll="0">
      <items count="4">
        <item x="0"/>
        <item x="1"/>
        <item x="2"/>
        <item t="default"/>
      </items>
    </pivotField>
  </pivotFields>
  <rowItems count="1">
    <i/>
  </rowItems>
  <colItems count="1">
    <i/>
  </colItems>
  <dataFields count="1">
    <dataField name="Sum of Sales" fld="10" baseField="0" baseItem="0"/>
  </dataFields>
  <formats count="6">
    <format dxfId="14">
      <pivotArea type="all" dataOnly="0" outline="0" fieldPosition="0"/>
    </format>
    <format dxfId="13">
      <pivotArea outline="0" collapsedLevelsAreSubtotals="1" fieldPosition="0"/>
    </format>
    <format dxfId="12">
      <pivotArea dataOnly="0" labelOnly="1" outline="0" axis="axisValues" fieldPosition="0"/>
    </format>
    <format dxfId="11">
      <pivotArea type="all" dataOnly="0" outline="0" fieldPosition="0"/>
    </format>
    <format dxfId="10">
      <pivotArea outline="0" collapsedLevelsAreSubtotals="1" fieldPosition="0"/>
    </format>
    <format dxfId="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C9D95A80-BB41-43F7-812F-D094FC485326}" sourceName="Category">
  <pivotTables>
    <pivotTable tabId="12" name="PivotTable11"/>
  </pivotTables>
  <data>
    <tabular pivotCacheId="563703780">
      <items count="5">
        <i x="1" s="1"/>
        <i x="0" s="1"/>
        <i x="3" s="1"/>
        <i x="4"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B8A01C2-19BB-4FDB-BE7B-4EBD9E81142E}" sourceName="Region">
  <pivotTables>
    <pivotTable tabId="12" name="PivotTable11"/>
    <pivotTable tabId="6" name="PivotTable5"/>
    <pivotTable tabId="10" name="PivotTable9"/>
    <pivotTable tabId="8" name="PivotTable7"/>
    <pivotTable tabId="7" name="PivotTable6"/>
    <pivotTable tabId="9" name="PivotTable8"/>
    <pivotTable tabId="11" name="PivotTable10"/>
    <pivotTable tabId="4" name="PivotTable3"/>
    <pivotTable tabId="5" name="PivotTable4"/>
    <pivotTable tabId="2" name="PivotTable1"/>
    <pivotTable tabId="13" name="PivotTable12"/>
    <pivotTable tabId="13" name="PivotTable14"/>
    <pivotTable tabId="13" name="PivotTable15"/>
  </pivotTables>
  <data>
    <tabular pivotCacheId="563703780">
      <items count="4">
        <i x="2" s="1"/>
        <i x="0" s="1"/>
        <i x="3"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D36982FA-02A5-4201-B448-9FB3805B1661}" sourceName="Segment">
  <pivotTables>
    <pivotTable tabId="12" name="PivotTable11"/>
  </pivotTables>
  <data>
    <tabular pivotCacheId="563703780">
      <items count="3">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 xr10:uid="{AB5E29C6-C9DA-4471-8774-F3F8E206E86C}" sourceName="Payment Mode">
  <pivotTables>
    <pivotTable tabId="12" name="PivotTable11"/>
  </pivotTables>
  <data>
    <tabular pivotCacheId="563703780">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601ECE47-DF3E-4B94-81EF-19A4714A4FC3}" cache="Slicer_Category" caption="Category" rowHeight="241300"/>
  <slicer name="Region" xr10:uid="{BF9E5FC6-AD92-40A4-A8AF-A060A80B6537}" cache="Slicer_Region" caption="Region" rowHeight="241300"/>
  <slicer name="Segment" xr10:uid="{7F46130E-962E-4FDF-B8D8-FC150EA7FEEF}" cache="Slicer_Segment" caption="Segment" rowHeight="241300"/>
  <slicer name="Payment Mode" xr10:uid="{D2C0B223-6104-49E9-9F9A-5D9D96FF0FF4}" cache="Slicer_Payment_Mode" caption="Payment Mode"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CFFF44EC-5FF1-44F7-BB9C-CADEFB4353BE}" cache="Slicer_Category" caption="Category" rowHeight="241300"/>
  <slicer name="Region 1" xr10:uid="{586ED62F-C3E1-4F07-8F05-7316999F87A2}" cache="Slicer_Region" caption="Region" rowHeight="241300"/>
  <slicer name="Segment 1" xr10:uid="{9CC4A161-E624-491B-9948-DBA8DA21E7B2}" cache="Slicer_Segment" caption="Segment" rowHeight="241300"/>
  <slicer name="Payment Mode 1" xr10:uid="{DA9D1285-CFAF-4E9D-9535-211B6B94539E}" cache="Slicer_Payment_Mode" caption="Payment Mode"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50DC587-0A79-4294-BC04-6C7F1B320D1C}" name="Table1" displayName="Table1" ref="A1:O201" totalsRowShown="0">
  <autoFilter ref="A1:O201" xr:uid="{981DBC09-784E-475D-B502-6E0B384C340B}"/>
  <tableColumns count="15">
    <tableColumn id="1" xr3:uid="{7B1C240A-422D-40B4-B33B-90877C4A9747}" name="Order ID"/>
    <tableColumn id="2" xr3:uid="{7DE050D1-D788-44D2-850A-4452A3D5BD34}" name="Order Date" dataDxfId="2"/>
    <tableColumn id="3" xr3:uid="{5BC6F2EA-E41F-4E87-B4FB-1F6B4A580E30}" name="Customer Name"/>
    <tableColumn id="4" xr3:uid="{FF81BCF0-9D30-4609-A1C1-A595D066AA2A}" name="Category"/>
    <tableColumn id="5" xr3:uid="{39857D0F-F859-48CD-B9A7-4F73CE177DE5}" name="Sub-Category"/>
    <tableColumn id="6" xr3:uid="{061CD4DF-E1F4-40B5-9B85-0384900E04D9}" name="Product Name"/>
    <tableColumn id="7" xr3:uid="{232773B8-B28D-4CA8-BC3D-5BE8FF455C31}" name="Region"/>
    <tableColumn id="8" xr3:uid="{587FDB12-5BFC-4214-8526-6E5D57DA8851}" name="State"/>
    <tableColumn id="9" xr3:uid="{4262D8CA-CFD2-475E-AE8A-3EBE7A4A6CFF}" name="City"/>
    <tableColumn id="10" xr3:uid="{1B4E4C96-FF56-4C31-9F2B-6CCA8D1FC7E9}" name="Segment"/>
    <tableColumn id="11" xr3:uid="{2D0A1324-C4A4-495A-9EA9-0AC79F4B0EAA}" name="Sales"/>
    <tableColumn id="12" xr3:uid="{5EA1E151-8F88-485A-B1D6-2E464BD95958}" name="Quantity"/>
    <tableColumn id="13" xr3:uid="{FC34E0C1-1968-4DFA-AF6F-A845CCFA67A5}" name="Discount" dataDxfId="1"/>
    <tableColumn id="14" xr3:uid="{AC801E33-1078-4AA7-8535-CC320353066C}" name="Profit"/>
    <tableColumn id="15" xr3:uid="{617672A8-928F-4B87-A3A5-20EA4BB26856}" name="Payment Mod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10.xml"/></Relationships>
</file>

<file path=xl/worksheets/_rels/sheet1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7.xml"/><Relationship Id="rId1" Type="http://schemas.openxmlformats.org/officeDocument/2006/relationships/pivotTable" Target="../pivotTables/pivotTable11.xml"/></Relationships>
</file>

<file path=xl/worksheets/_rels/sheet12.xml.rels><?xml version="1.0" encoding="UTF-8" standalone="yes"?>
<Relationships xmlns="http://schemas.openxmlformats.org/package/2006/relationships"><Relationship Id="rId3" Type="http://schemas.openxmlformats.org/officeDocument/2006/relationships/pivotTable" Target="../pivotTables/pivotTable14.xml"/><Relationship Id="rId2" Type="http://schemas.openxmlformats.org/officeDocument/2006/relationships/pivotTable" Target="../pivotTables/pivotTable13.xml"/><Relationship Id="rId1" Type="http://schemas.openxmlformats.org/officeDocument/2006/relationships/pivotTable" Target="../pivotTables/pivotTable12.xml"/><Relationship Id="rId6" Type="http://schemas.microsoft.com/office/2007/relationships/slicer" Target="../slicers/slicer2.xml"/><Relationship Id="rId5" Type="http://schemas.openxmlformats.org/officeDocument/2006/relationships/drawing" Target="../drawings/drawing8.xml"/><Relationship Id="rId4" Type="http://schemas.openxmlformats.org/officeDocument/2006/relationships/pivotTable" Target="../pivotTables/pivotTable15.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F6EFE9-F204-4306-B2DA-7A8B8E7E75F6}">
  <dimension ref="A3:A4"/>
  <sheetViews>
    <sheetView workbookViewId="0">
      <selection activeCell="A3" sqref="A3:A4"/>
    </sheetView>
  </sheetViews>
  <sheetFormatPr defaultRowHeight="14.5" x14ac:dyDescent="0.35"/>
  <cols>
    <col min="1" max="1" width="11.26953125" bestFit="1" customWidth="1"/>
  </cols>
  <sheetData>
    <row r="3" spans="1:1" x14ac:dyDescent="0.35">
      <c r="A3" t="s">
        <v>624</v>
      </c>
    </row>
    <row r="4" spans="1:1" x14ac:dyDescent="0.35">
      <c r="A4">
        <v>136850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8B5F87-4A3C-431B-9073-3888B4201756}">
  <dimension ref="A3:A4"/>
  <sheetViews>
    <sheetView workbookViewId="0">
      <selection activeCell="A3" sqref="A3:A4"/>
    </sheetView>
  </sheetViews>
  <sheetFormatPr defaultRowHeight="14.5" x14ac:dyDescent="0.35"/>
  <cols>
    <col min="1" max="1" width="11.81640625" bestFit="1" customWidth="1"/>
  </cols>
  <sheetData>
    <row r="3" spans="1:1" x14ac:dyDescent="0.35">
      <c r="A3" t="s">
        <v>625</v>
      </c>
    </row>
    <row r="4" spans="1:1" x14ac:dyDescent="0.35">
      <c r="A4">
        <v>18774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E28A7C-AF80-4A36-BD68-049C11CA9ABC}">
  <dimension ref="A3:B4"/>
  <sheetViews>
    <sheetView workbookViewId="0">
      <selection activeCell="A3" sqref="A3:B4"/>
    </sheetView>
  </sheetViews>
  <sheetFormatPr defaultRowHeight="14.5" x14ac:dyDescent="0.35"/>
  <cols>
    <col min="1" max="1" width="15.81640625" bestFit="1" customWidth="1"/>
    <col min="2" max="2" width="16.81640625" bestFit="1" customWidth="1"/>
  </cols>
  <sheetData>
    <row r="3" spans="1:2" x14ac:dyDescent="0.35">
      <c r="A3" t="s">
        <v>626</v>
      </c>
      <c r="B3" t="s">
        <v>627</v>
      </c>
    </row>
    <row r="4" spans="1:2" x14ac:dyDescent="0.35">
      <c r="A4">
        <v>200</v>
      </c>
      <c r="B4">
        <v>200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244B29-AA1D-44DE-83B2-3F9980125B18}">
  <dimension ref="A3:A4"/>
  <sheetViews>
    <sheetView workbookViewId="0">
      <selection activeCell="A3" sqref="A3:A4"/>
    </sheetView>
  </sheetViews>
  <sheetFormatPr defaultRowHeight="14.5" x14ac:dyDescent="0.35"/>
  <cols>
    <col min="1" max="1" width="14.54296875" bestFit="1" customWidth="1"/>
  </cols>
  <sheetData>
    <row r="3" spans="1:1" x14ac:dyDescent="0.35">
      <c r="A3" t="s">
        <v>628</v>
      </c>
    </row>
    <row r="4" spans="1:1" x14ac:dyDescent="0.35">
      <c r="A4">
        <v>967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1F589-A286-499F-A01A-0CDEEB50B024}">
  <dimension ref="A3:B9"/>
  <sheetViews>
    <sheetView showGridLines="0" workbookViewId="0">
      <selection activeCell="M6" sqref="M6"/>
    </sheetView>
  </sheetViews>
  <sheetFormatPr defaultRowHeight="14.5" x14ac:dyDescent="0.35"/>
  <cols>
    <col min="1" max="1" width="12.36328125" bestFit="1" customWidth="1"/>
    <col min="2" max="2" width="11.26953125" bestFit="1" customWidth="1"/>
  </cols>
  <sheetData>
    <row r="3" spans="1:2" x14ac:dyDescent="0.35">
      <c r="A3" s="3" t="s">
        <v>629</v>
      </c>
      <c r="B3" t="s">
        <v>624</v>
      </c>
    </row>
    <row r="4" spans="1:2" x14ac:dyDescent="0.35">
      <c r="A4" s="4" t="s">
        <v>27</v>
      </c>
      <c r="B4">
        <v>27410</v>
      </c>
    </row>
    <row r="5" spans="1:2" x14ac:dyDescent="0.35">
      <c r="A5" s="4" t="s">
        <v>17</v>
      </c>
      <c r="B5">
        <v>41140</v>
      </c>
    </row>
    <row r="6" spans="1:2" x14ac:dyDescent="0.35">
      <c r="A6" s="4" t="s">
        <v>45</v>
      </c>
      <c r="B6">
        <v>27660</v>
      </c>
    </row>
    <row r="7" spans="1:2" x14ac:dyDescent="0.35">
      <c r="A7" s="4" t="s">
        <v>66</v>
      </c>
      <c r="B7">
        <v>20840</v>
      </c>
    </row>
    <row r="8" spans="1:2" x14ac:dyDescent="0.35">
      <c r="A8" s="4" t="s">
        <v>37</v>
      </c>
      <c r="B8">
        <v>19800</v>
      </c>
    </row>
    <row r="9" spans="1:2" x14ac:dyDescent="0.35">
      <c r="A9" s="4" t="s">
        <v>630</v>
      </c>
      <c r="B9">
        <v>136850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5572A3-B5C4-4B6F-A4A0-FB37AF5889BB}">
  <dimension ref="A3:B8"/>
  <sheetViews>
    <sheetView showGridLines="0" workbookViewId="0">
      <selection activeCell="D8" sqref="D8"/>
    </sheetView>
  </sheetViews>
  <sheetFormatPr defaultRowHeight="14.5" x14ac:dyDescent="0.35"/>
  <cols>
    <col min="1" max="1" width="12.36328125" bestFit="1" customWidth="1"/>
    <col min="2" max="2" width="11.26953125" bestFit="1" customWidth="1"/>
  </cols>
  <sheetData>
    <row r="3" spans="1:2" x14ac:dyDescent="0.35">
      <c r="A3" s="3" t="s">
        <v>629</v>
      </c>
      <c r="B3" t="s">
        <v>624</v>
      </c>
    </row>
    <row r="4" spans="1:2" x14ac:dyDescent="0.35">
      <c r="A4" s="4" t="s">
        <v>55</v>
      </c>
      <c r="B4">
        <v>25810</v>
      </c>
    </row>
    <row r="5" spans="1:2" x14ac:dyDescent="0.35">
      <c r="A5" s="4" t="s">
        <v>20</v>
      </c>
      <c r="B5">
        <v>51600</v>
      </c>
    </row>
    <row r="6" spans="1:2" x14ac:dyDescent="0.35">
      <c r="A6" s="4" t="s">
        <v>88</v>
      </c>
      <c r="B6">
        <v>8390</v>
      </c>
    </row>
    <row r="7" spans="1:2" x14ac:dyDescent="0.35">
      <c r="A7" s="4" t="s">
        <v>30</v>
      </c>
      <c r="B7">
        <v>51050</v>
      </c>
    </row>
    <row r="8" spans="1:2" x14ac:dyDescent="0.35">
      <c r="A8" s="4" t="s">
        <v>630</v>
      </c>
      <c r="B8">
        <v>136850</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8FED10-825B-4C38-AEF9-1DC22A5414B3}">
  <dimension ref="A3:B12"/>
  <sheetViews>
    <sheetView showGridLines="0" workbookViewId="0">
      <selection activeCell="M5" sqref="M5"/>
    </sheetView>
  </sheetViews>
  <sheetFormatPr defaultRowHeight="14.5" x14ac:dyDescent="0.35"/>
  <cols>
    <col min="1" max="1" width="12.36328125" bestFit="1" customWidth="1"/>
    <col min="2" max="2" width="11.26953125" bestFit="1" customWidth="1"/>
  </cols>
  <sheetData>
    <row r="3" spans="1:2" x14ac:dyDescent="0.35">
      <c r="A3" s="3" t="s">
        <v>629</v>
      </c>
      <c r="B3" t="s">
        <v>624</v>
      </c>
    </row>
    <row r="4" spans="1:2" x14ac:dyDescent="0.35">
      <c r="A4" s="4" t="s">
        <v>638</v>
      </c>
      <c r="B4">
        <v>136850</v>
      </c>
    </row>
    <row r="5" spans="1:2" x14ac:dyDescent="0.35">
      <c r="A5" s="5" t="s">
        <v>631</v>
      </c>
      <c r="B5">
        <v>17490</v>
      </c>
    </row>
    <row r="6" spans="1:2" x14ac:dyDescent="0.35">
      <c r="A6" s="5" t="s">
        <v>632</v>
      </c>
      <c r="B6">
        <v>17430</v>
      </c>
    </row>
    <row r="7" spans="1:2" x14ac:dyDescent="0.35">
      <c r="A7" s="5" t="s">
        <v>633</v>
      </c>
      <c r="B7">
        <v>21430</v>
      </c>
    </row>
    <row r="8" spans="1:2" x14ac:dyDescent="0.35">
      <c r="A8" s="5" t="s">
        <v>634</v>
      </c>
      <c r="B8">
        <v>20030</v>
      </c>
    </row>
    <row r="9" spans="1:2" x14ac:dyDescent="0.35">
      <c r="A9" s="5" t="s">
        <v>635</v>
      </c>
      <c r="B9">
        <v>20380</v>
      </c>
    </row>
    <row r="10" spans="1:2" x14ac:dyDescent="0.35">
      <c r="A10" s="5" t="s">
        <v>636</v>
      </c>
      <c r="B10">
        <v>22100</v>
      </c>
    </row>
    <row r="11" spans="1:2" x14ac:dyDescent="0.35">
      <c r="A11" s="5" t="s">
        <v>637</v>
      </c>
      <c r="B11">
        <v>17990</v>
      </c>
    </row>
    <row r="12" spans="1:2" x14ac:dyDescent="0.35">
      <c r="A12" s="4" t="s">
        <v>630</v>
      </c>
      <c r="B12">
        <v>136850</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804949-24C9-4699-84EF-E20C21E9C73B}">
  <dimension ref="A3:B7"/>
  <sheetViews>
    <sheetView showGridLines="0" workbookViewId="0">
      <selection activeCell="M6" sqref="M6"/>
    </sheetView>
  </sheetViews>
  <sheetFormatPr defaultRowHeight="14.5" x14ac:dyDescent="0.35"/>
  <cols>
    <col min="1" max="1" width="12.36328125" bestFit="1" customWidth="1"/>
    <col min="2" max="2" width="11.26953125" bestFit="1" customWidth="1"/>
  </cols>
  <sheetData>
    <row r="3" spans="1:2" x14ac:dyDescent="0.35">
      <c r="A3" s="3" t="s">
        <v>629</v>
      </c>
      <c r="B3" t="s">
        <v>624</v>
      </c>
    </row>
    <row r="4" spans="1:2" x14ac:dyDescent="0.35">
      <c r="A4" s="4" t="s">
        <v>23</v>
      </c>
      <c r="B4">
        <v>91380</v>
      </c>
    </row>
    <row r="5" spans="1:2" x14ac:dyDescent="0.35">
      <c r="A5" s="4" t="s">
        <v>33</v>
      </c>
      <c r="B5">
        <v>31280</v>
      </c>
    </row>
    <row r="6" spans="1:2" x14ac:dyDescent="0.35">
      <c r="A6" s="4" t="s">
        <v>50</v>
      </c>
      <c r="B6">
        <v>14190</v>
      </c>
    </row>
    <row r="7" spans="1:2" x14ac:dyDescent="0.35">
      <c r="A7" s="4" t="s">
        <v>630</v>
      </c>
      <c r="B7">
        <v>136850</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0814F4-04FF-4E3E-9298-CAD51CB625C3}">
  <dimension ref="A3:B9"/>
  <sheetViews>
    <sheetView showGridLines="0" workbookViewId="0">
      <selection activeCell="C3" sqref="C3"/>
    </sheetView>
  </sheetViews>
  <sheetFormatPr defaultRowHeight="14.5" x14ac:dyDescent="0.35"/>
  <cols>
    <col min="1" max="1" width="12.36328125" bestFit="1" customWidth="1"/>
    <col min="2" max="2" width="11.81640625" bestFit="1" customWidth="1"/>
  </cols>
  <sheetData>
    <row r="3" spans="1:2" x14ac:dyDescent="0.35">
      <c r="A3" s="3" t="s">
        <v>629</v>
      </c>
      <c r="B3" t="s">
        <v>625</v>
      </c>
    </row>
    <row r="4" spans="1:2" x14ac:dyDescent="0.35">
      <c r="A4" s="4" t="s">
        <v>27</v>
      </c>
      <c r="B4">
        <v>3753</v>
      </c>
    </row>
    <row r="5" spans="1:2" x14ac:dyDescent="0.35">
      <c r="A5" s="4" t="s">
        <v>17</v>
      </c>
      <c r="B5">
        <v>6133</v>
      </c>
    </row>
    <row r="6" spans="1:2" x14ac:dyDescent="0.35">
      <c r="A6" s="4" t="s">
        <v>45</v>
      </c>
      <c r="B6">
        <v>3518</v>
      </c>
    </row>
    <row r="7" spans="1:2" x14ac:dyDescent="0.35">
      <c r="A7" s="4" t="s">
        <v>66</v>
      </c>
      <c r="B7">
        <v>2513</v>
      </c>
    </row>
    <row r="8" spans="1:2" x14ac:dyDescent="0.35">
      <c r="A8" s="4" t="s">
        <v>37</v>
      </c>
      <c r="B8">
        <v>2857</v>
      </c>
    </row>
    <row r="9" spans="1:2" x14ac:dyDescent="0.35">
      <c r="A9" s="4" t="s">
        <v>630</v>
      </c>
      <c r="B9">
        <v>18774</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2DEEC3-3DCD-41BC-B5F2-915033A88FA3}">
  <dimension ref="A3:B15"/>
  <sheetViews>
    <sheetView showGridLines="0" workbookViewId="0">
      <selection activeCell="K6" sqref="K6"/>
    </sheetView>
  </sheetViews>
  <sheetFormatPr defaultRowHeight="14.5" x14ac:dyDescent="0.35"/>
  <cols>
    <col min="1" max="1" width="16.36328125" bestFit="1" customWidth="1"/>
    <col min="2" max="2" width="11.26953125" bestFit="1" customWidth="1"/>
  </cols>
  <sheetData>
    <row r="3" spans="1:2" x14ac:dyDescent="0.35">
      <c r="A3" s="3" t="s">
        <v>629</v>
      </c>
      <c r="B3" t="s">
        <v>624</v>
      </c>
    </row>
    <row r="4" spans="1:2" x14ac:dyDescent="0.35">
      <c r="A4" s="4" t="s">
        <v>131</v>
      </c>
      <c r="B4">
        <v>3000</v>
      </c>
    </row>
    <row r="5" spans="1:2" x14ac:dyDescent="0.35">
      <c r="A5" s="4" t="s">
        <v>543</v>
      </c>
      <c r="B5">
        <v>1410</v>
      </c>
    </row>
    <row r="6" spans="1:2" x14ac:dyDescent="0.35">
      <c r="A6" s="4" t="s">
        <v>253</v>
      </c>
      <c r="B6">
        <v>1320</v>
      </c>
    </row>
    <row r="7" spans="1:2" x14ac:dyDescent="0.35">
      <c r="A7" s="4" t="s">
        <v>107</v>
      </c>
      <c r="B7">
        <v>1150</v>
      </c>
    </row>
    <row r="8" spans="1:2" x14ac:dyDescent="0.35">
      <c r="A8" s="4" t="s">
        <v>193</v>
      </c>
      <c r="B8">
        <v>1680</v>
      </c>
    </row>
    <row r="9" spans="1:2" x14ac:dyDescent="0.35">
      <c r="A9" s="4" t="s">
        <v>430</v>
      </c>
      <c r="B9">
        <v>1190</v>
      </c>
    </row>
    <row r="10" spans="1:2" x14ac:dyDescent="0.35">
      <c r="A10" s="4" t="s">
        <v>615</v>
      </c>
      <c r="B10">
        <v>1150</v>
      </c>
    </row>
    <row r="11" spans="1:2" x14ac:dyDescent="0.35">
      <c r="A11" s="4" t="s">
        <v>488</v>
      </c>
      <c r="B11">
        <v>1370</v>
      </c>
    </row>
    <row r="12" spans="1:2" x14ac:dyDescent="0.35">
      <c r="A12" s="4" t="s">
        <v>19</v>
      </c>
      <c r="B12">
        <v>1250</v>
      </c>
    </row>
    <row r="13" spans="1:2" x14ac:dyDescent="0.35">
      <c r="A13" s="4" t="s">
        <v>313</v>
      </c>
      <c r="B13">
        <v>1280</v>
      </c>
    </row>
    <row r="14" spans="1:2" x14ac:dyDescent="0.35">
      <c r="A14" s="4" t="s">
        <v>585</v>
      </c>
      <c r="B14">
        <v>1290</v>
      </c>
    </row>
    <row r="15" spans="1:2" x14ac:dyDescent="0.35">
      <c r="A15" s="4" t="s">
        <v>630</v>
      </c>
      <c r="B15">
        <v>16090</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9E28A1-4BB8-495F-9379-840E56EA9D26}">
  <dimension ref="A3:B7"/>
  <sheetViews>
    <sheetView showGridLines="0" workbookViewId="0">
      <selection activeCell="M15" sqref="M15"/>
    </sheetView>
  </sheetViews>
  <sheetFormatPr defaultRowHeight="14.5" x14ac:dyDescent="0.35"/>
  <cols>
    <col min="1" max="1" width="12.36328125" bestFit="1" customWidth="1"/>
    <col min="2" max="2" width="11.26953125" bestFit="1" customWidth="1"/>
  </cols>
  <sheetData>
    <row r="3" spans="1:2" x14ac:dyDescent="0.35">
      <c r="A3" s="3" t="s">
        <v>629</v>
      </c>
      <c r="B3" t="s">
        <v>624</v>
      </c>
    </row>
    <row r="4" spans="1:2" x14ac:dyDescent="0.35">
      <c r="A4" s="4" t="s">
        <v>34</v>
      </c>
      <c r="B4">
        <v>57170</v>
      </c>
    </row>
    <row r="5" spans="1:2" x14ac:dyDescent="0.35">
      <c r="A5" s="4" t="s">
        <v>42</v>
      </c>
      <c r="B5">
        <v>26740</v>
      </c>
    </row>
    <row r="6" spans="1:2" x14ac:dyDescent="0.35">
      <c r="A6" s="4" t="s">
        <v>24</v>
      </c>
      <c r="B6">
        <v>52940</v>
      </c>
    </row>
    <row r="7" spans="1:2" x14ac:dyDescent="0.35">
      <c r="A7" s="4" t="s">
        <v>630</v>
      </c>
      <c r="B7">
        <v>136850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35B439-CBD2-4BA9-8CB0-B3B4BEA7DA43}">
  <dimension ref="A1:I4"/>
  <sheetViews>
    <sheetView showGridLines="0" topLeftCell="A19" workbookViewId="0">
      <selection activeCell="F3" sqref="F3"/>
    </sheetView>
  </sheetViews>
  <sheetFormatPr defaultRowHeight="14.5" x14ac:dyDescent="0.35"/>
  <cols>
    <col min="1" max="1" width="11.36328125" customWidth="1"/>
    <col min="3" max="3" width="11.453125" customWidth="1"/>
    <col min="5" max="5" width="30.81640625" customWidth="1"/>
    <col min="9" max="9" width="15.90625" customWidth="1"/>
  </cols>
  <sheetData>
    <row r="1" spans="1:9" ht="23.5" x14ac:dyDescent="0.55000000000000004">
      <c r="E1" s="9" t="s">
        <v>639</v>
      </c>
      <c r="F1" s="9"/>
      <c r="G1" s="9"/>
      <c r="H1" s="6"/>
    </row>
    <row r="3" spans="1:9" x14ac:dyDescent="0.35">
      <c r="A3" s="8" t="s">
        <v>624</v>
      </c>
      <c r="C3" s="3" t="s">
        <v>625</v>
      </c>
      <c r="E3" s="7" t="s">
        <v>626</v>
      </c>
      <c r="F3" s="8" t="s">
        <v>627</v>
      </c>
      <c r="G3" s="8"/>
      <c r="I3" s="7" t="s">
        <v>628</v>
      </c>
    </row>
    <row r="4" spans="1:9" x14ac:dyDescent="0.35">
      <c r="A4" s="8">
        <v>136850</v>
      </c>
      <c r="C4">
        <v>18774</v>
      </c>
      <c r="E4" s="8">
        <v>200</v>
      </c>
      <c r="F4" s="8">
        <v>200</v>
      </c>
      <c r="G4" s="8"/>
      <c r="I4" s="8">
        <v>967</v>
      </c>
    </row>
  </sheetData>
  <mergeCells count="1">
    <mergeCell ref="E1:G1"/>
  </mergeCells>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1DBC09-784E-475D-B502-6E0B384C340B}">
  <dimension ref="A1:Q201"/>
  <sheetViews>
    <sheetView tabSelected="1" topLeftCell="A2" workbookViewId="0">
      <selection activeCell="G12" sqref="G12"/>
    </sheetView>
  </sheetViews>
  <sheetFormatPr defaultRowHeight="14.5" x14ac:dyDescent="0.35"/>
  <cols>
    <col min="1" max="1" width="10" customWidth="1"/>
    <col min="2" max="2" width="12.26953125" customWidth="1"/>
    <col min="3" max="3" width="16.36328125" customWidth="1"/>
    <col min="4" max="4" width="10.26953125" customWidth="1"/>
    <col min="5" max="5" width="14" customWidth="1"/>
    <col min="6" max="6" width="14.81640625" customWidth="1"/>
    <col min="10" max="10" width="10.08984375" customWidth="1"/>
    <col min="12" max="13" width="10.1796875" customWidth="1"/>
    <col min="15" max="15" width="15.6328125" customWidth="1"/>
  </cols>
  <sheetData>
    <row r="1" spans="1:17" x14ac:dyDescent="0.35">
      <c r="A1" t="s">
        <v>0</v>
      </c>
      <c r="B1" s="2" t="s">
        <v>1</v>
      </c>
      <c r="C1" t="s">
        <v>2</v>
      </c>
      <c r="D1" t="s">
        <v>3</v>
      </c>
      <c r="E1" t="s">
        <v>4</v>
      </c>
      <c r="F1" t="s">
        <v>5</v>
      </c>
      <c r="G1" t="s">
        <v>6</v>
      </c>
      <c r="H1" t="s">
        <v>7</v>
      </c>
      <c r="I1" t="s">
        <v>8</v>
      </c>
      <c r="J1" t="s">
        <v>9</v>
      </c>
      <c r="K1" t="s">
        <v>10</v>
      </c>
      <c r="L1" t="s">
        <v>11</v>
      </c>
      <c r="M1" t="s">
        <v>12</v>
      </c>
      <c r="N1" t="s">
        <v>13</v>
      </c>
      <c r="O1" t="s">
        <v>14</v>
      </c>
    </row>
    <row r="2" spans="1:17" x14ac:dyDescent="0.35">
      <c r="A2" t="s">
        <v>15</v>
      </c>
      <c r="B2" s="2">
        <v>45662</v>
      </c>
      <c r="C2" t="s">
        <v>16</v>
      </c>
      <c r="D2" t="s">
        <v>17</v>
      </c>
      <c r="E2" t="s">
        <v>18</v>
      </c>
      <c r="F2" t="s">
        <v>19</v>
      </c>
      <c r="G2" t="s">
        <v>20</v>
      </c>
      <c r="H2" t="s">
        <v>21</v>
      </c>
      <c r="I2" t="s">
        <v>22</v>
      </c>
      <c r="J2" t="s">
        <v>23</v>
      </c>
      <c r="K2">
        <v>1250</v>
      </c>
      <c r="L2">
        <v>2</v>
      </c>
      <c r="M2" s="1">
        <v>0.05</v>
      </c>
      <c r="N2">
        <v>180</v>
      </c>
      <c r="O2" t="s">
        <v>24</v>
      </c>
      <c r="Q2" t="str">
        <f>TRIM(C2)</f>
        <v>Aarav Sharma</v>
      </c>
    </row>
    <row r="3" spans="1:17" x14ac:dyDescent="0.35">
      <c r="A3" t="s">
        <v>25</v>
      </c>
      <c r="B3" s="2">
        <v>45663</v>
      </c>
      <c r="C3" t="s">
        <v>26</v>
      </c>
      <c r="D3" t="s">
        <v>27</v>
      </c>
      <c r="E3" t="s">
        <v>28</v>
      </c>
      <c r="F3" t="s">
        <v>29</v>
      </c>
      <c r="G3" t="s">
        <v>30</v>
      </c>
      <c r="H3" t="s">
        <v>31</v>
      </c>
      <c r="I3" t="s">
        <v>32</v>
      </c>
      <c r="J3" t="s">
        <v>33</v>
      </c>
      <c r="K3">
        <v>540</v>
      </c>
      <c r="L3">
        <v>6</v>
      </c>
      <c r="M3" s="1">
        <v>0.1</v>
      </c>
      <c r="N3">
        <v>72</v>
      </c>
      <c r="O3" t="s">
        <v>34</v>
      </c>
    </row>
    <row r="4" spans="1:17" x14ac:dyDescent="0.35">
      <c r="A4" t="s">
        <v>35</v>
      </c>
      <c r="B4" s="2">
        <v>45664</v>
      </c>
      <c r="C4" t="s">
        <v>36</v>
      </c>
      <c r="D4" t="s">
        <v>37</v>
      </c>
      <c r="E4" t="s">
        <v>38</v>
      </c>
      <c r="F4" t="s">
        <v>39</v>
      </c>
      <c r="G4" t="s">
        <v>30</v>
      </c>
      <c r="H4" t="s">
        <v>40</v>
      </c>
      <c r="I4" t="s">
        <v>41</v>
      </c>
      <c r="J4" t="s">
        <v>23</v>
      </c>
      <c r="K4">
        <v>360</v>
      </c>
      <c r="L4">
        <v>8</v>
      </c>
      <c r="M4" s="1">
        <v>0.05</v>
      </c>
      <c r="N4">
        <v>54</v>
      </c>
      <c r="O4" t="s">
        <v>42</v>
      </c>
    </row>
    <row r="5" spans="1:17" x14ac:dyDescent="0.35">
      <c r="A5" t="s">
        <v>43</v>
      </c>
      <c r="B5" s="2">
        <v>45665</v>
      </c>
      <c r="C5" t="s">
        <v>44</v>
      </c>
      <c r="D5" t="s">
        <v>45</v>
      </c>
      <c r="E5" t="s">
        <v>46</v>
      </c>
      <c r="F5" t="s">
        <v>47</v>
      </c>
      <c r="G5" t="s">
        <v>20</v>
      </c>
      <c r="H5" t="s">
        <v>48</v>
      </c>
      <c r="I5" t="s">
        <v>49</v>
      </c>
      <c r="J5" t="s">
        <v>50</v>
      </c>
      <c r="K5">
        <v>780</v>
      </c>
      <c r="L5">
        <v>4</v>
      </c>
      <c r="M5" s="1">
        <v>0.1</v>
      </c>
      <c r="N5">
        <v>96</v>
      </c>
      <c r="O5" t="s">
        <v>24</v>
      </c>
    </row>
    <row r="6" spans="1:17" x14ac:dyDescent="0.35">
      <c r="A6" t="s">
        <v>51</v>
      </c>
      <c r="B6" s="2">
        <v>45666</v>
      </c>
      <c r="C6" t="s">
        <v>52</v>
      </c>
      <c r="D6" t="s">
        <v>17</v>
      </c>
      <c r="E6" t="s">
        <v>53</v>
      </c>
      <c r="F6" t="s">
        <v>54</v>
      </c>
      <c r="G6" t="s">
        <v>55</v>
      </c>
      <c r="H6" t="s">
        <v>56</v>
      </c>
      <c r="I6" t="s">
        <v>57</v>
      </c>
      <c r="J6" t="s">
        <v>23</v>
      </c>
      <c r="K6">
        <v>920</v>
      </c>
      <c r="L6">
        <v>3</v>
      </c>
      <c r="M6" s="1">
        <v>0.05</v>
      </c>
      <c r="N6">
        <v>138</v>
      </c>
      <c r="O6" t="s">
        <v>24</v>
      </c>
    </row>
    <row r="7" spans="1:17" x14ac:dyDescent="0.35">
      <c r="A7" t="s">
        <v>58</v>
      </c>
      <c r="B7" s="2">
        <v>45667</v>
      </c>
      <c r="C7" t="s">
        <v>59</v>
      </c>
      <c r="D7" t="s">
        <v>27</v>
      </c>
      <c r="E7" t="s">
        <v>60</v>
      </c>
      <c r="F7" t="s">
        <v>61</v>
      </c>
      <c r="G7" t="s">
        <v>20</v>
      </c>
      <c r="H7" t="s">
        <v>62</v>
      </c>
      <c r="I7" t="s">
        <v>63</v>
      </c>
      <c r="J7" t="s">
        <v>23</v>
      </c>
      <c r="K7">
        <v>450</v>
      </c>
      <c r="L7">
        <v>5</v>
      </c>
      <c r="M7" s="1">
        <v>0.05</v>
      </c>
      <c r="N7">
        <v>68</v>
      </c>
      <c r="O7" t="s">
        <v>34</v>
      </c>
    </row>
    <row r="8" spans="1:17" x14ac:dyDescent="0.35">
      <c r="A8" t="s">
        <v>64</v>
      </c>
      <c r="B8" s="2">
        <v>45668</v>
      </c>
      <c r="C8" t="s">
        <v>65</v>
      </c>
      <c r="D8" t="s">
        <v>66</v>
      </c>
      <c r="E8" t="s">
        <v>67</v>
      </c>
      <c r="F8" t="s">
        <v>68</v>
      </c>
      <c r="G8" t="s">
        <v>30</v>
      </c>
      <c r="H8" t="s">
        <v>69</v>
      </c>
      <c r="I8" t="s">
        <v>70</v>
      </c>
      <c r="J8" t="s">
        <v>33</v>
      </c>
      <c r="K8">
        <v>620</v>
      </c>
      <c r="L8">
        <v>10</v>
      </c>
      <c r="M8" s="1">
        <v>0.1</v>
      </c>
      <c r="N8">
        <v>74</v>
      </c>
      <c r="O8" t="s">
        <v>42</v>
      </c>
    </row>
    <row r="9" spans="1:17" x14ac:dyDescent="0.35">
      <c r="A9" t="s">
        <v>71</v>
      </c>
      <c r="B9" s="2">
        <v>45669</v>
      </c>
      <c r="C9" t="s">
        <v>72</v>
      </c>
      <c r="D9" t="s">
        <v>17</v>
      </c>
      <c r="E9" t="s">
        <v>18</v>
      </c>
      <c r="F9" t="s">
        <v>73</v>
      </c>
      <c r="G9" t="s">
        <v>30</v>
      </c>
      <c r="H9" t="s">
        <v>40</v>
      </c>
      <c r="I9" t="s">
        <v>74</v>
      </c>
      <c r="J9" t="s">
        <v>23</v>
      </c>
      <c r="K9">
        <v>840</v>
      </c>
      <c r="L9">
        <v>4</v>
      </c>
      <c r="M9" s="1">
        <v>0.05</v>
      </c>
      <c r="N9">
        <v>126</v>
      </c>
      <c r="O9" t="s">
        <v>24</v>
      </c>
    </row>
    <row r="10" spans="1:17" x14ac:dyDescent="0.35">
      <c r="A10" t="s">
        <v>75</v>
      </c>
      <c r="B10" s="2">
        <v>45670</v>
      </c>
      <c r="C10" t="s">
        <v>76</v>
      </c>
      <c r="D10" t="s">
        <v>37</v>
      </c>
      <c r="E10" t="s">
        <v>77</v>
      </c>
      <c r="F10" t="s">
        <v>78</v>
      </c>
      <c r="G10" t="s">
        <v>55</v>
      </c>
      <c r="H10" t="s">
        <v>56</v>
      </c>
      <c r="I10" t="s">
        <v>79</v>
      </c>
      <c r="J10" t="s">
        <v>23</v>
      </c>
      <c r="K10">
        <v>280</v>
      </c>
      <c r="L10">
        <v>10</v>
      </c>
      <c r="M10" s="1">
        <v>0.05</v>
      </c>
      <c r="N10">
        <v>42</v>
      </c>
      <c r="O10" t="s">
        <v>42</v>
      </c>
    </row>
    <row r="11" spans="1:17" x14ac:dyDescent="0.35">
      <c r="A11" t="s">
        <v>80</v>
      </c>
      <c r="B11" s="2">
        <v>45671</v>
      </c>
      <c r="C11" t="s">
        <v>81</v>
      </c>
      <c r="D11" t="s">
        <v>45</v>
      </c>
      <c r="E11" t="s">
        <v>82</v>
      </c>
      <c r="F11" t="s">
        <v>83</v>
      </c>
      <c r="G11" t="s">
        <v>20</v>
      </c>
      <c r="H11" t="s">
        <v>21</v>
      </c>
      <c r="I11" t="s">
        <v>22</v>
      </c>
      <c r="J11" t="s">
        <v>50</v>
      </c>
      <c r="K11">
        <v>390</v>
      </c>
      <c r="L11">
        <v>6</v>
      </c>
      <c r="M11" s="1">
        <v>0.1</v>
      </c>
      <c r="N11">
        <v>47</v>
      </c>
      <c r="O11" t="s">
        <v>24</v>
      </c>
    </row>
    <row r="12" spans="1:17" x14ac:dyDescent="0.35">
      <c r="A12" t="s">
        <v>84</v>
      </c>
      <c r="B12" s="2">
        <v>45672</v>
      </c>
      <c r="C12" t="s">
        <v>85</v>
      </c>
      <c r="D12" t="s">
        <v>27</v>
      </c>
      <c r="E12" t="s">
        <v>86</v>
      </c>
      <c r="F12" t="s">
        <v>87</v>
      </c>
      <c r="G12" t="s">
        <v>88</v>
      </c>
      <c r="H12" t="s">
        <v>89</v>
      </c>
      <c r="I12" t="s">
        <v>90</v>
      </c>
      <c r="J12" t="s">
        <v>33</v>
      </c>
      <c r="K12">
        <v>720</v>
      </c>
      <c r="L12">
        <v>4</v>
      </c>
      <c r="M12" s="1">
        <v>0.05</v>
      </c>
      <c r="N12">
        <v>108</v>
      </c>
      <c r="O12" t="s">
        <v>34</v>
      </c>
    </row>
    <row r="13" spans="1:17" x14ac:dyDescent="0.35">
      <c r="A13" t="s">
        <v>91</v>
      </c>
      <c r="B13" s="2">
        <v>45673</v>
      </c>
      <c r="C13" t="s">
        <v>92</v>
      </c>
      <c r="D13" t="s">
        <v>17</v>
      </c>
      <c r="E13" t="s">
        <v>18</v>
      </c>
      <c r="F13" t="s">
        <v>93</v>
      </c>
      <c r="G13" t="s">
        <v>20</v>
      </c>
      <c r="H13" t="s">
        <v>94</v>
      </c>
      <c r="I13" t="s">
        <v>95</v>
      </c>
      <c r="J13" t="s">
        <v>23</v>
      </c>
      <c r="K13">
        <v>510</v>
      </c>
      <c r="L13">
        <v>5</v>
      </c>
      <c r="M13" s="1">
        <v>0.05</v>
      </c>
      <c r="N13">
        <v>77</v>
      </c>
      <c r="O13" t="s">
        <v>24</v>
      </c>
    </row>
    <row r="14" spans="1:17" x14ac:dyDescent="0.35">
      <c r="A14" t="s">
        <v>96</v>
      </c>
      <c r="B14" s="2">
        <v>45674</v>
      </c>
      <c r="C14" t="s">
        <v>97</v>
      </c>
      <c r="D14" t="s">
        <v>66</v>
      </c>
      <c r="E14" t="s">
        <v>98</v>
      </c>
      <c r="F14" t="s">
        <v>99</v>
      </c>
      <c r="G14" t="s">
        <v>55</v>
      </c>
      <c r="H14" t="s">
        <v>56</v>
      </c>
      <c r="I14" t="s">
        <v>57</v>
      </c>
      <c r="J14" t="s">
        <v>23</v>
      </c>
      <c r="K14">
        <v>680</v>
      </c>
      <c r="L14">
        <v>4</v>
      </c>
      <c r="M14" s="1">
        <v>0.1</v>
      </c>
      <c r="N14">
        <v>82</v>
      </c>
      <c r="O14" t="s">
        <v>34</v>
      </c>
    </row>
    <row r="15" spans="1:17" x14ac:dyDescent="0.35">
      <c r="A15" t="s">
        <v>100</v>
      </c>
      <c r="B15" s="2">
        <v>45675</v>
      </c>
      <c r="C15" t="s">
        <v>101</v>
      </c>
      <c r="D15" t="s">
        <v>37</v>
      </c>
      <c r="E15" t="s">
        <v>102</v>
      </c>
      <c r="F15" t="s">
        <v>103</v>
      </c>
      <c r="G15" t="s">
        <v>20</v>
      </c>
      <c r="H15" t="s">
        <v>94</v>
      </c>
      <c r="I15" t="s">
        <v>104</v>
      </c>
      <c r="J15" t="s">
        <v>33</v>
      </c>
      <c r="K15">
        <v>430</v>
      </c>
      <c r="L15">
        <v>7</v>
      </c>
      <c r="M15" s="1">
        <v>0.05</v>
      </c>
      <c r="N15">
        <v>65</v>
      </c>
      <c r="O15" t="s">
        <v>42</v>
      </c>
    </row>
    <row r="16" spans="1:17" x14ac:dyDescent="0.35">
      <c r="A16" t="s">
        <v>105</v>
      </c>
      <c r="B16" s="2">
        <v>45676</v>
      </c>
      <c r="C16" t="s">
        <v>106</v>
      </c>
      <c r="D16" t="s">
        <v>45</v>
      </c>
      <c r="E16" t="s">
        <v>46</v>
      </c>
      <c r="F16" t="s">
        <v>107</v>
      </c>
      <c r="G16" t="s">
        <v>30</v>
      </c>
      <c r="H16" t="s">
        <v>31</v>
      </c>
      <c r="I16" t="s">
        <v>108</v>
      </c>
      <c r="J16" t="s">
        <v>23</v>
      </c>
      <c r="K16">
        <v>1150</v>
      </c>
      <c r="L16">
        <v>3</v>
      </c>
      <c r="M16" s="1">
        <v>0.1</v>
      </c>
      <c r="N16">
        <v>138</v>
      </c>
      <c r="O16" t="s">
        <v>24</v>
      </c>
    </row>
    <row r="17" spans="1:15" x14ac:dyDescent="0.35">
      <c r="A17" t="s">
        <v>109</v>
      </c>
      <c r="B17" s="2">
        <v>45677</v>
      </c>
      <c r="C17" t="s">
        <v>110</v>
      </c>
      <c r="D17" t="s">
        <v>27</v>
      </c>
      <c r="E17" t="s">
        <v>111</v>
      </c>
      <c r="F17" t="s">
        <v>112</v>
      </c>
      <c r="G17" t="s">
        <v>20</v>
      </c>
      <c r="H17" t="s">
        <v>21</v>
      </c>
      <c r="I17" t="s">
        <v>22</v>
      </c>
      <c r="J17" t="s">
        <v>23</v>
      </c>
      <c r="K17">
        <v>890</v>
      </c>
      <c r="L17">
        <v>2</v>
      </c>
      <c r="M17" s="1">
        <v>0.05</v>
      </c>
      <c r="N17">
        <v>134</v>
      </c>
      <c r="O17" t="s">
        <v>34</v>
      </c>
    </row>
    <row r="18" spans="1:15" x14ac:dyDescent="0.35">
      <c r="A18" t="s">
        <v>113</v>
      </c>
      <c r="B18" s="2">
        <v>45678</v>
      </c>
      <c r="C18" t="s">
        <v>114</v>
      </c>
      <c r="D18" t="s">
        <v>17</v>
      </c>
      <c r="E18" t="s">
        <v>53</v>
      </c>
      <c r="F18" t="s">
        <v>115</v>
      </c>
      <c r="G18" t="s">
        <v>20</v>
      </c>
      <c r="H18" t="s">
        <v>48</v>
      </c>
      <c r="I18" t="s">
        <v>116</v>
      </c>
      <c r="J18" t="s">
        <v>33</v>
      </c>
      <c r="K18">
        <v>760</v>
      </c>
      <c r="L18">
        <v>3</v>
      </c>
      <c r="M18" s="1">
        <v>0.05</v>
      </c>
      <c r="N18">
        <v>114</v>
      </c>
      <c r="O18" t="s">
        <v>24</v>
      </c>
    </row>
    <row r="19" spans="1:15" x14ac:dyDescent="0.35">
      <c r="A19" t="s">
        <v>117</v>
      </c>
      <c r="B19" s="2">
        <v>45679</v>
      </c>
      <c r="C19" t="s">
        <v>118</v>
      </c>
      <c r="D19" t="s">
        <v>66</v>
      </c>
      <c r="E19" t="s">
        <v>119</v>
      </c>
      <c r="F19" t="s">
        <v>120</v>
      </c>
      <c r="G19" t="s">
        <v>30</v>
      </c>
      <c r="H19" t="s">
        <v>69</v>
      </c>
      <c r="I19" t="s">
        <v>70</v>
      </c>
      <c r="J19" t="s">
        <v>23</v>
      </c>
      <c r="K19">
        <v>540</v>
      </c>
      <c r="L19">
        <v>4</v>
      </c>
      <c r="M19" s="1">
        <v>0.1</v>
      </c>
      <c r="N19">
        <v>65</v>
      </c>
      <c r="O19" t="s">
        <v>42</v>
      </c>
    </row>
    <row r="20" spans="1:15" x14ac:dyDescent="0.35">
      <c r="A20" t="s">
        <v>121</v>
      </c>
      <c r="B20" s="2">
        <v>45680</v>
      </c>
      <c r="C20" t="s">
        <v>122</v>
      </c>
      <c r="D20" t="s">
        <v>37</v>
      </c>
      <c r="E20" t="s">
        <v>123</v>
      </c>
      <c r="F20" t="s">
        <v>124</v>
      </c>
      <c r="G20" t="s">
        <v>55</v>
      </c>
      <c r="H20" t="s">
        <v>56</v>
      </c>
      <c r="I20" t="s">
        <v>79</v>
      </c>
      <c r="J20" t="s">
        <v>23</v>
      </c>
      <c r="K20">
        <v>650</v>
      </c>
      <c r="L20">
        <v>5</v>
      </c>
      <c r="M20" s="1">
        <v>0.05</v>
      </c>
      <c r="N20">
        <v>98</v>
      </c>
      <c r="O20" t="s">
        <v>34</v>
      </c>
    </row>
    <row r="21" spans="1:15" x14ac:dyDescent="0.35">
      <c r="A21" t="s">
        <v>125</v>
      </c>
      <c r="B21" s="2">
        <v>45681</v>
      </c>
      <c r="C21" t="s">
        <v>126</v>
      </c>
      <c r="D21" t="s">
        <v>45</v>
      </c>
      <c r="E21" t="s">
        <v>82</v>
      </c>
      <c r="F21" t="s">
        <v>127</v>
      </c>
      <c r="G21" t="s">
        <v>30</v>
      </c>
      <c r="H21" t="s">
        <v>31</v>
      </c>
      <c r="I21" t="s">
        <v>128</v>
      </c>
      <c r="J21" t="s">
        <v>50</v>
      </c>
      <c r="K21">
        <v>320</v>
      </c>
      <c r="L21">
        <v>4</v>
      </c>
      <c r="M21" s="1">
        <v>0.05</v>
      </c>
      <c r="N21">
        <v>48</v>
      </c>
      <c r="O21" t="s">
        <v>24</v>
      </c>
    </row>
    <row r="22" spans="1:15" x14ac:dyDescent="0.35">
      <c r="A22" t="s">
        <v>129</v>
      </c>
      <c r="B22" s="2">
        <v>45682</v>
      </c>
      <c r="C22" t="s">
        <v>130</v>
      </c>
      <c r="D22" t="s">
        <v>17</v>
      </c>
      <c r="E22" t="s">
        <v>18</v>
      </c>
      <c r="F22" t="s">
        <v>131</v>
      </c>
      <c r="G22" t="s">
        <v>20</v>
      </c>
      <c r="H22" t="s">
        <v>62</v>
      </c>
      <c r="I22" t="s">
        <v>132</v>
      </c>
      <c r="J22" t="s">
        <v>23</v>
      </c>
      <c r="K22">
        <v>1450</v>
      </c>
      <c r="L22">
        <v>2</v>
      </c>
      <c r="M22" s="1">
        <v>0.1</v>
      </c>
      <c r="N22">
        <v>174</v>
      </c>
      <c r="O22" t="s">
        <v>34</v>
      </c>
    </row>
    <row r="23" spans="1:15" x14ac:dyDescent="0.35">
      <c r="A23" t="s">
        <v>133</v>
      </c>
      <c r="B23" s="2">
        <v>45683</v>
      </c>
      <c r="C23" t="s">
        <v>134</v>
      </c>
      <c r="D23" t="s">
        <v>27</v>
      </c>
      <c r="E23" t="s">
        <v>28</v>
      </c>
      <c r="F23" t="s">
        <v>135</v>
      </c>
      <c r="G23" t="s">
        <v>20</v>
      </c>
      <c r="H23" t="s">
        <v>21</v>
      </c>
      <c r="I23" t="s">
        <v>22</v>
      </c>
      <c r="J23" t="s">
        <v>23</v>
      </c>
      <c r="K23">
        <v>480</v>
      </c>
      <c r="L23">
        <v>8</v>
      </c>
      <c r="M23" s="1">
        <v>0.05</v>
      </c>
      <c r="N23">
        <v>72</v>
      </c>
      <c r="O23" t="s">
        <v>42</v>
      </c>
    </row>
    <row r="24" spans="1:15" x14ac:dyDescent="0.35">
      <c r="A24" t="s">
        <v>136</v>
      </c>
      <c r="B24" s="2">
        <v>45684</v>
      </c>
      <c r="C24" t="s">
        <v>137</v>
      </c>
      <c r="D24" t="s">
        <v>37</v>
      </c>
      <c r="E24" t="s">
        <v>38</v>
      </c>
      <c r="F24" t="s">
        <v>138</v>
      </c>
      <c r="G24" t="s">
        <v>30</v>
      </c>
      <c r="H24" t="s">
        <v>40</v>
      </c>
      <c r="I24" t="s">
        <v>139</v>
      </c>
      <c r="J24" t="s">
        <v>33</v>
      </c>
      <c r="K24">
        <v>390</v>
      </c>
      <c r="L24">
        <v>7</v>
      </c>
      <c r="M24" s="1">
        <v>0.1</v>
      </c>
      <c r="N24">
        <v>47</v>
      </c>
      <c r="O24" t="s">
        <v>24</v>
      </c>
    </row>
    <row r="25" spans="1:15" x14ac:dyDescent="0.35">
      <c r="A25" t="s">
        <v>140</v>
      </c>
      <c r="B25" s="2">
        <v>45685</v>
      </c>
      <c r="C25" t="s">
        <v>141</v>
      </c>
      <c r="D25" t="s">
        <v>45</v>
      </c>
      <c r="E25" t="s">
        <v>46</v>
      </c>
      <c r="F25" t="s">
        <v>142</v>
      </c>
      <c r="G25" t="s">
        <v>55</v>
      </c>
      <c r="H25" t="s">
        <v>56</v>
      </c>
      <c r="I25" t="s">
        <v>57</v>
      </c>
      <c r="J25" t="s">
        <v>23</v>
      </c>
      <c r="K25">
        <v>460</v>
      </c>
      <c r="L25">
        <v>5</v>
      </c>
      <c r="M25" s="1">
        <v>0.05</v>
      </c>
      <c r="N25">
        <v>69</v>
      </c>
      <c r="O25" t="s">
        <v>24</v>
      </c>
    </row>
    <row r="26" spans="1:15" x14ac:dyDescent="0.35">
      <c r="A26" t="s">
        <v>143</v>
      </c>
      <c r="B26" s="2">
        <v>45686</v>
      </c>
      <c r="C26" t="s">
        <v>144</v>
      </c>
      <c r="D26" t="s">
        <v>17</v>
      </c>
      <c r="E26" t="s">
        <v>53</v>
      </c>
      <c r="F26" t="s">
        <v>145</v>
      </c>
      <c r="G26" t="s">
        <v>30</v>
      </c>
      <c r="H26" t="s">
        <v>31</v>
      </c>
      <c r="I26" t="s">
        <v>32</v>
      </c>
      <c r="J26" t="s">
        <v>23</v>
      </c>
      <c r="K26">
        <v>670</v>
      </c>
      <c r="L26">
        <v>4</v>
      </c>
      <c r="M26" s="1">
        <v>0.05</v>
      </c>
      <c r="N26">
        <v>101</v>
      </c>
      <c r="O26" t="s">
        <v>34</v>
      </c>
    </row>
    <row r="27" spans="1:15" x14ac:dyDescent="0.35">
      <c r="A27" t="s">
        <v>146</v>
      </c>
      <c r="B27" s="2">
        <v>45687</v>
      </c>
      <c r="C27" t="s">
        <v>147</v>
      </c>
      <c r="D27" t="s">
        <v>27</v>
      </c>
      <c r="E27" t="s">
        <v>60</v>
      </c>
      <c r="F27" t="s">
        <v>148</v>
      </c>
      <c r="G27" t="s">
        <v>20</v>
      </c>
      <c r="H27" t="s">
        <v>48</v>
      </c>
      <c r="I27" t="s">
        <v>49</v>
      </c>
      <c r="J27" t="s">
        <v>50</v>
      </c>
      <c r="K27">
        <v>520</v>
      </c>
      <c r="L27">
        <v>5</v>
      </c>
      <c r="M27" s="1">
        <v>0.1</v>
      </c>
      <c r="N27">
        <v>62</v>
      </c>
      <c r="O27" t="s">
        <v>42</v>
      </c>
    </row>
    <row r="28" spans="1:15" x14ac:dyDescent="0.35">
      <c r="A28" t="s">
        <v>149</v>
      </c>
      <c r="B28" s="2">
        <v>45688</v>
      </c>
      <c r="C28" t="s">
        <v>150</v>
      </c>
      <c r="D28" t="s">
        <v>66</v>
      </c>
      <c r="E28" t="s">
        <v>67</v>
      </c>
      <c r="F28" t="s">
        <v>151</v>
      </c>
      <c r="G28" t="s">
        <v>30</v>
      </c>
      <c r="H28" t="s">
        <v>40</v>
      </c>
      <c r="I28" t="s">
        <v>41</v>
      </c>
      <c r="J28" t="s">
        <v>23</v>
      </c>
      <c r="K28">
        <v>440</v>
      </c>
      <c r="L28">
        <v>6</v>
      </c>
      <c r="M28" s="1">
        <v>0.05</v>
      </c>
      <c r="N28">
        <v>66</v>
      </c>
      <c r="O28" t="s">
        <v>24</v>
      </c>
    </row>
    <row r="29" spans="1:15" x14ac:dyDescent="0.35">
      <c r="A29" t="s">
        <v>152</v>
      </c>
      <c r="B29" s="2">
        <v>45689</v>
      </c>
      <c r="C29" t="s">
        <v>153</v>
      </c>
      <c r="D29" t="s">
        <v>17</v>
      </c>
      <c r="E29" t="s">
        <v>18</v>
      </c>
      <c r="F29" t="s">
        <v>154</v>
      </c>
      <c r="G29" t="s">
        <v>20</v>
      </c>
      <c r="H29" t="s">
        <v>21</v>
      </c>
      <c r="I29" t="s">
        <v>22</v>
      </c>
      <c r="J29" t="s">
        <v>33</v>
      </c>
      <c r="K29">
        <v>380</v>
      </c>
      <c r="L29">
        <v>5</v>
      </c>
      <c r="M29" s="1">
        <v>0.05</v>
      </c>
      <c r="N29">
        <v>57</v>
      </c>
      <c r="O29" t="s">
        <v>34</v>
      </c>
    </row>
    <row r="30" spans="1:15" x14ac:dyDescent="0.35">
      <c r="A30" t="s">
        <v>155</v>
      </c>
      <c r="B30" s="2">
        <v>45690</v>
      </c>
      <c r="C30" t="s">
        <v>156</v>
      </c>
      <c r="D30" t="s">
        <v>37</v>
      </c>
      <c r="E30" t="s">
        <v>77</v>
      </c>
      <c r="F30" t="s">
        <v>157</v>
      </c>
      <c r="G30" t="s">
        <v>55</v>
      </c>
      <c r="H30" t="s">
        <v>56</v>
      </c>
      <c r="I30" t="s">
        <v>79</v>
      </c>
      <c r="J30" t="s">
        <v>23</v>
      </c>
      <c r="K30">
        <v>310</v>
      </c>
      <c r="L30">
        <v>8</v>
      </c>
      <c r="M30" s="1">
        <v>0.1</v>
      </c>
      <c r="N30">
        <v>37</v>
      </c>
      <c r="O30" t="s">
        <v>42</v>
      </c>
    </row>
    <row r="31" spans="1:15" x14ac:dyDescent="0.35">
      <c r="A31" t="s">
        <v>158</v>
      </c>
      <c r="B31" s="2">
        <v>45691</v>
      </c>
      <c r="C31" t="s">
        <v>159</v>
      </c>
      <c r="D31" t="s">
        <v>45</v>
      </c>
      <c r="E31" t="s">
        <v>82</v>
      </c>
      <c r="F31" t="s">
        <v>160</v>
      </c>
      <c r="G31" t="s">
        <v>30</v>
      </c>
      <c r="H31" t="s">
        <v>31</v>
      </c>
      <c r="I31" t="s">
        <v>108</v>
      </c>
      <c r="J31" t="s">
        <v>23</v>
      </c>
      <c r="K31">
        <v>570</v>
      </c>
      <c r="L31">
        <v>5</v>
      </c>
      <c r="M31" s="1">
        <v>0.05</v>
      </c>
      <c r="N31">
        <v>86</v>
      </c>
      <c r="O31" t="s">
        <v>24</v>
      </c>
    </row>
    <row r="32" spans="1:15" x14ac:dyDescent="0.35">
      <c r="A32" t="s">
        <v>161</v>
      </c>
      <c r="B32" s="2">
        <v>45692</v>
      </c>
      <c r="C32" t="s">
        <v>162</v>
      </c>
      <c r="D32" t="s">
        <v>27</v>
      </c>
      <c r="E32" t="s">
        <v>86</v>
      </c>
      <c r="F32" t="s">
        <v>163</v>
      </c>
      <c r="G32" t="s">
        <v>20</v>
      </c>
      <c r="H32" t="s">
        <v>62</v>
      </c>
      <c r="I32" t="s">
        <v>63</v>
      </c>
      <c r="J32" t="s">
        <v>33</v>
      </c>
      <c r="K32">
        <v>960</v>
      </c>
      <c r="L32">
        <v>3</v>
      </c>
      <c r="M32" s="1">
        <v>0.1</v>
      </c>
      <c r="N32">
        <v>115</v>
      </c>
      <c r="O32" t="s">
        <v>34</v>
      </c>
    </row>
    <row r="33" spans="1:15" x14ac:dyDescent="0.35">
      <c r="A33" t="s">
        <v>164</v>
      </c>
      <c r="B33" s="2">
        <v>45693</v>
      </c>
      <c r="C33" t="s">
        <v>165</v>
      </c>
      <c r="D33" t="s">
        <v>17</v>
      </c>
      <c r="E33" t="s">
        <v>18</v>
      </c>
      <c r="F33" t="s">
        <v>166</v>
      </c>
      <c r="G33" t="s">
        <v>30</v>
      </c>
      <c r="H33" t="s">
        <v>69</v>
      </c>
      <c r="I33" t="s">
        <v>70</v>
      </c>
      <c r="J33" t="s">
        <v>23</v>
      </c>
      <c r="K33">
        <v>350</v>
      </c>
      <c r="L33">
        <v>5</v>
      </c>
      <c r="M33" s="1">
        <v>0.05</v>
      </c>
      <c r="N33">
        <v>53</v>
      </c>
      <c r="O33" t="s">
        <v>24</v>
      </c>
    </row>
    <row r="34" spans="1:15" x14ac:dyDescent="0.35">
      <c r="A34" t="s">
        <v>167</v>
      </c>
      <c r="B34" s="2">
        <v>45694</v>
      </c>
      <c r="C34" t="s">
        <v>168</v>
      </c>
      <c r="D34" t="s">
        <v>66</v>
      </c>
      <c r="E34" t="s">
        <v>98</v>
      </c>
      <c r="F34" t="s">
        <v>169</v>
      </c>
      <c r="G34" t="s">
        <v>55</v>
      </c>
      <c r="H34" t="s">
        <v>56</v>
      </c>
      <c r="I34" t="s">
        <v>57</v>
      </c>
      <c r="J34" t="s">
        <v>23</v>
      </c>
      <c r="K34">
        <v>720</v>
      </c>
      <c r="L34">
        <v>3</v>
      </c>
      <c r="M34" s="1">
        <v>0.1</v>
      </c>
      <c r="N34">
        <v>86</v>
      </c>
      <c r="O34" t="s">
        <v>34</v>
      </c>
    </row>
    <row r="35" spans="1:15" x14ac:dyDescent="0.35">
      <c r="A35" t="s">
        <v>170</v>
      </c>
      <c r="B35" s="2">
        <v>45695</v>
      </c>
      <c r="C35" t="s">
        <v>171</v>
      </c>
      <c r="D35" t="s">
        <v>37</v>
      </c>
      <c r="E35" t="s">
        <v>102</v>
      </c>
      <c r="F35" t="s">
        <v>172</v>
      </c>
      <c r="G35" t="s">
        <v>20</v>
      </c>
      <c r="H35" t="s">
        <v>48</v>
      </c>
      <c r="I35" t="s">
        <v>116</v>
      </c>
      <c r="J35" t="s">
        <v>33</v>
      </c>
      <c r="K35">
        <v>480</v>
      </c>
      <c r="L35">
        <v>6</v>
      </c>
      <c r="M35" s="1">
        <v>0.05</v>
      </c>
      <c r="N35">
        <v>72</v>
      </c>
      <c r="O35" t="s">
        <v>42</v>
      </c>
    </row>
    <row r="36" spans="1:15" x14ac:dyDescent="0.35">
      <c r="A36" t="s">
        <v>173</v>
      </c>
      <c r="B36" s="2">
        <v>45696</v>
      </c>
      <c r="C36" t="s">
        <v>174</v>
      </c>
      <c r="D36" t="s">
        <v>45</v>
      </c>
      <c r="E36" t="s">
        <v>46</v>
      </c>
      <c r="F36" t="s">
        <v>175</v>
      </c>
      <c r="G36" t="s">
        <v>30</v>
      </c>
      <c r="H36" t="s">
        <v>40</v>
      </c>
      <c r="I36" t="s">
        <v>74</v>
      </c>
      <c r="J36" t="s">
        <v>23</v>
      </c>
      <c r="K36">
        <v>850</v>
      </c>
      <c r="L36">
        <v>3</v>
      </c>
      <c r="M36" s="1">
        <v>0.1</v>
      </c>
      <c r="N36">
        <v>102</v>
      </c>
      <c r="O36" t="s">
        <v>24</v>
      </c>
    </row>
    <row r="37" spans="1:15" x14ac:dyDescent="0.35">
      <c r="A37" t="s">
        <v>176</v>
      </c>
      <c r="B37" s="2">
        <v>45697</v>
      </c>
      <c r="C37" t="s">
        <v>177</v>
      </c>
      <c r="D37" t="s">
        <v>27</v>
      </c>
      <c r="E37" t="s">
        <v>111</v>
      </c>
      <c r="F37" t="s">
        <v>178</v>
      </c>
      <c r="G37" t="s">
        <v>20</v>
      </c>
      <c r="H37" t="s">
        <v>94</v>
      </c>
      <c r="I37" t="s">
        <v>95</v>
      </c>
      <c r="J37" t="s">
        <v>23</v>
      </c>
      <c r="K37">
        <v>780</v>
      </c>
      <c r="L37">
        <v>3</v>
      </c>
      <c r="M37" s="1">
        <v>0.05</v>
      </c>
      <c r="N37">
        <v>117</v>
      </c>
      <c r="O37" t="s">
        <v>34</v>
      </c>
    </row>
    <row r="38" spans="1:15" x14ac:dyDescent="0.35">
      <c r="A38" t="s">
        <v>179</v>
      </c>
      <c r="B38" s="2">
        <v>45698</v>
      </c>
      <c r="C38" t="s">
        <v>180</v>
      </c>
      <c r="D38" t="s">
        <v>17</v>
      </c>
      <c r="E38" t="s">
        <v>53</v>
      </c>
      <c r="F38" t="s">
        <v>181</v>
      </c>
      <c r="G38" t="s">
        <v>88</v>
      </c>
      <c r="H38" t="s">
        <v>89</v>
      </c>
      <c r="I38" t="s">
        <v>90</v>
      </c>
      <c r="J38" t="s">
        <v>33</v>
      </c>
      <c r="K38">
        <v>690</v>
      </c>
      <c r="L38">
        <v>4</v>
      </c>
      <c r="M38" s="1">
        <v>0.05</v>
      </c>
      <c r="N38">
        <v>104</v>
      </c>
      <c r="O38" t="s">
        <v>24</v>
      </c>
    </row>
    <row r="39" spans="1:15" x14ac:dyDescent="0.35">
      <c r="A39" t="s">
        <v>182</v>
      </c>
      <c r="B39" s="2">
        <v>45699</v>
      </c>
      <c r="C39" t="s">
        <v>183</v>
      </c>
      <c r="D39" t="s">
        <v>66</v>
      </c>
      <c r="E39" t="s">
        <v>119</v>
      </c>
      <c r="F39" t="s">
        <v>184</v>
      </c>
      <c r="G39" t="s">
        <v>55</v>
      </c>
      <c r="H39" t="s">
        <v>56</v>
      </c>
      <c r="I39" t="s">
        <v>79</v>
      </c>
      <c r="J39" t="s">
        <v>23</v>
      </c>
      <c r="K39">
        <v>610</v>
      </c>
      <c r="L39">
        <v>3</v>
      </c>
      <c r="M39" s="1">
        <v>0.1</v>
      </c>
      <c r="N39">
        <v>73</v>
      </c>
      <c r="O39" t="s">
        <v>42</v>
      </c>
    </row>
    <row r="40" spans="1:15" x14ac:dyDescent="0.35">
      <c r="A40" t="s">
        <v>185</v>
      </c>
      <c r="B40" s="2">
        <v>45700</v>
      </c>
      <c r="C40" t="s">
        <v>186</v>
      </c>
      <c r="D40" t="s">
        <v>37</v>
      </c>
      <c r="E40" t="s">
        <v>123</v>
      </c>
      <c r="F40" t="s">
        <v>187</v>
      </c>
      <c r="G40" t="s">
        <v>30</v>
      </c>
      <c r="H40" t="s">
        <v>31</v>
      </c>
      <c r="I40" t="s">
        <v>128</v>
      </c>
      <c r="J40" t="s">
        <v>23</v>
      </c>
      <c r="K40">
        <v>520</v>
      </c>
      <c r="L40">
        <v>7</v>
      </c>
      <c r="M40" s="1">
        <v>0.05</v>
      </c>
      <c r="N40">
        <v>78</v>
      </c>
      <c r="O40" t="s">
        <v>34</v>
      </c>
    </row>
    <row r="41" spans="1:15" x14ac:dyDescent="0.35">
      <c r="A41" t="s">
        <v>188</v>
      </c>
      <c r="B41" s="2">
        <v>45701</v>
      </c>
      <c r="C41" t="s">
        <v>189</v>
      </c>
      <c r="D41" t="s">
        <v>45</v>
      </c>
      <c r="E41" t="s">
        <v>82</v>
      </c>
      <c r="F41" t="s">
        <v>190</v>
      </c>
      <c r="G41" t="s">
        <v>20</v>
      </c>
      <c r="H41" t="s">
        <v>21</v>
      </c>
      <c r="I41" t="s">
        <v>22</v>
      </c>
      <c r="J41" t="s">
        <v>50</v>
      </c>
      <c r="K41">
        <v>920</v>
      </c>
      <c r="L41">
        <v>4</v>
      </c>
      <c r="M41" s="1">
        <v>0.1</v>
      </c>
      <c r="N41">
        <v>110</v>
      </c>
      <c r="O41" t="s">
        <v>24</v>
      </c>
    </row>
    <row r="42" spans="1:15" x14ac:dyDescent="0.35">
      <c r="A42" t="s">
        <v>191</v>
      </c>
      <c r="B42" s="2">
        <v>45702</v>
      </c>
      <c r="C42" t="s">
        <v>192</v>
      </c>
      <c r="D42" t="s">
        <v>17</v>
      </c>
      <c r="E42" t="s">
        <v>18</v>
      </c>
      <c r="F42" t="s">
        <v>193</v>
      </c>
      <c r="G42" t="s">
        <v>20</v>
      </c>
      <c r="H42" t="s">
        <v>62</v>
      </c>
      <c r="I42" t="s">
        <v>132</v>
      </c>
      <c r="J42" t="s">
        <v>23</v>
      </c>
      <c r="K42">
        <v>1680</v>
      </c>
      <c r="L42">
        <v>2</v>
      </c>
      <c r="M42" s="1">
        <v>0.05</v>
      </c>
      <c r="N42">
        <v>252</v>
      </c>
      <c r="O42" t="s">
        <v>34</v>
      </c>
    </row>
    <row r="43" spans="1:15" x14ac:dyDescent="0.35">
      <c r="A43" t="s">
        <v>194</v>
      </c>
      <c r="B43" s="2">
        <v>45703</v>
      </c>
      <c r="C43" t="s">
        <v>195</v>
      </c>
      <c r="D43" t="s">
        <v>27</v>
      </c>
      <c r="E43" t="s">
        <v>28</v>
      </c>
      <c r="F43" t="s">
        <v>196</v>
      </c>
      <c r="G43" t="s">
        <v>30</v>
      </c>
      <c r="H43" t="s">
        <v>69</v>
      </c>
      <c r="I43" t="s">
        <v>70</v>
      </c>
      <c r="J43" t="s">
        <v>23</v>
      </c>
      <c r="K43">
        <v>430</v>
      </c>
      <c r="L43">
        <v>8</v>
      </c>
      <c r="M43" s="1">
        <v>0.1</v>
      </c>
      <c r="N43">
        <v>52</v>
      </c>
      <c r="O43" t="s">
        <v>42</v>
      </c>
    </row>
    <row r="44" spans="1:15" x14ac:dyDescent="0.35">
      <c r="A44" t="s">
        <v>197</v>
      </c>
      <c r="B44" s="2">
        <v>45704</v>
      </c>
      <c r="C44" t="s">
        <v>198</v>
      </c>
      <c r="D44" t="s">
        <v>37</v>
      </c>
      <c r="E44" t="s">
        <v>38</v>
      </c>
      <c r="F44" t="s">
        <v>199</v>
      </c>
      <c r="G44" t="s">
        <v>30</v>
      </c>
      <c r="H44" t="s">
        <v>40</v>
      </c>
      <c r="I44" t="s">
        <v>139</v>
      </c>
      <c r="J44" t="s">
        <v>33</v>
      </c>
      <c r="K44">
        <v>560</v>
      </c>
      <c r="L44">
        <v>6</v>
      </c>
      <c r="M44" s="1">
        <v>0.05</v>
      </c>
      <c r="N44">
        <v>84</v>
      </c>
      <c r="O44" t="s">
        <v>24</v>
      </c>
    </row>
    <row r="45" spans="1:15" x14ac:dyDescent="0.35">
      <c r="A45" t="s">
        <v>200</v>
      </c>
      <c r="B45" s="2">
        <v>45705</v>
      </c>
      <c r="C45" t="s">
        <v>201</v>
      </c>
      <c r="D45" t="s">
        <v>45</v>
      </c>
      <c r="E45" t="s">
        <v>46</v>
      </c>
      <c r="F45" t="s">
        <v>202</v>
      </c>
      <c r="G45" t="s">
        <v>55</v>
      </c>
      <c r="H45" t="s">
        <v>56</v>
      </c>
      <c r="I45" t="s">
        <v>57</v>
      </c>
      <c r="J45" t="s">
        <v>23</v>
      </c>
      <c r="K45">
        <v>490</v>
      </c>
      <c r="L45">
        <v>5</v>
      </c>
      <c r="M45" s="1">
        <v>0.1</v>
      </c>
      <c r="N45">
        <v>59</v>
      </c>
      <c r="O45" t="s">
        <v>24</v>
      </c>
    </row>
    <row r="46" spans="1:15" x14ac:dyDescent="0.35">
      <c r="A46" t="s">
        <v>203</v>
      </c>
      <c r="B46" s="2">
        <v>45706</v>
      </c>
      <c r="C46" t="s">
        <v>204</v>
      </c>
      <c r="D46" t="s">
        <v>17</v>
      </c>
      <c r="E46" t="s">
        <v>53</v>
      </c>
      <c r="F46" t="s">
        <v>205</v>
      </c>
      <c r="G46" t="s">
        <v>30</v>
      </c>
      <c r="H46" t="s">
        <v>31</v>
      </c>
      <c r="I46" t="s">
        <v>32</v>
      </c>
      <c r="J46" t="s">
        <v>23</v>
      </c>
      <c r="K46">
        <v>740</v>
      </c>
      <c r="L46">
        <v>4</v>
      </c>
      <c r="M46" s="1">
        <v>0.05</v>
      </c>
      <c r="N46">
        <v>111</v>
      </c>
      <c r="O46" t="s">
        <v>34</v>
      </c>
    </row>
    <row r="47" spans="1:15" x14ac:dyDescent="0.35">
      <c r="A47" t="s">
        <v>206</v>
      </c>
      <c r="B47" s="2">
        <v>45707</v>
      </c>
      <c r="C47" t="s">
        <v>207</v>
      </c>
      <c r="D47" t="s">
        <v>27</v>
      </c>
      <c r="E47" t="s">
        <v>60</v>
      </c>
      <c r="F47" t="s">
        <v>208</v>
      </c>
      <c r="G47" t="s">
        <v>20</v>
      </c>
      <c r="H47" t="s">
        <v>48</v>
      </c>
      <c r="I47" t="s">
        <v>49</v>
      </c>
      <c r="J47" t="s">
        <v>50</v>
      </c>
      <c r="K47">
        <v>580</v>
      </c>
      <c r="L47">
        <v>5</v>
      </c>
      <c r="M47" s="1">
        <v>0.05</v>
      </c>
      <c r="N47">
        <v>87</v>
      </c>
      <c r="O47" t="s">
        <v>42</v>
      </c>
    </row>
    <row r="48" spans="1:15" x14ac:dyDescent="0.35">
      <c r="A48" t="s">
        <v>209</v>
      </c>
      <c r="B48" s="2">
        <v>45708</v>
      </c>
      <c r="C48" t="s">
        <v>210</v>
      </c>
      <c r="D48" t="s">
        <v>66</v>
      </c>
      <c r="E48" t="s">
        <v>67</v>
      </c>
      <c r="F48" t="s">
        <v>211</v>
      </c>
      <c r="G48" t="s">
        <v>20</v>
      </c>
      <c r="H48" t="s">
        <v>21</v>
      </c>
      <c r="I48" t="s">
        <v>22</v>
      </c>
      <c r="J48" t="s">
        <v>23</v>
      </c>
      <c r="K48">
        <v>460</v>
      </c>
      <c r="L48">
        <v>6</v>
      </c>
      <c r="M48" s="1">
        <v>0.1</v>
      </c>
      <c r="N48">
        <v>55</v>
      </c>
      <c r="O48" t="s">
        <v>24</v>
      </c>
    </row>
    <row r="49" spans="1:15" x14ac:dyDescent="0.35">
      <c r="A49" t="s">
        <v>212</v>
      </c>
      <c r="B49" s="2">
        <v>45709</v>
      </c>
      <c r="C49" t="s">
        <v>213</v>
      </c>
      <c r="D49" t="s">
        <v>17</v>
      </c>
      <c r="E49" t="s">
        <v>18</v>
      </c>
      <c r="F49" t="s">
        <v>214</v>
      </c>
      <c r="G49" t="s">
        <v>30</v>
      </c>
      <c r="H49" t="s">
        <v>40</v>
      </c>
      <c r="I49" t="s">
        <v>41</v>
      </c>
      <c r="J49" t="s">
        <v>33</v>
      </c>
      <c r="K49">
        <v>410</v>
      </c>
      <c r="L49">
        <v>5</v>
      </c>
      <c r="M49" s="1">
        <v>0.05</v>
      </c>
      <c r="N49">
        <v>62</v>
      </c>
      <c r="O49" t="s">
        <v>34</v>
      </c>
    </row>
    <row r="50" spans="1:15" x14ac:dyDescent="0.35">
      <c r="A50" t="s">
        <v>215</v>
      </c>
      <c r="B50" s="2">
        <v>45710</v>
      </c>
      <c r="C50" t="s">
        <v>216</v>
      </c>
      <c r="D50" t="s">
        <v>37</v>
      </c>
      <c r="E50" t="s">
        <v>77</v>
      </c>
      <c r="F50" t="s">
        <v>217</v>
      </c>
      <c r="G50" t="s">
        <v>55</v>
      </c>
      <c r="H50" t="s">
        <v>56</v>
      </c>
      <c r="I50" t="s">
        <v>79</v>
      </c>
      <c r="J50" t="s">
        <v>23</v>
      </c>
      <c r="K50">
        <v>340</v>
      </c>
      <c r="L50">
        <v>9</v>
      </c>
      <c r="M50" s="1">
        <v>0.1</v>
      </c>
      <c r="N50">
        <v>41</v>
      </c>
      <c r="O50" t="s">
        <v>42</v>
      </c>
    </row>
    <row r="51" spans="1:15" x14ac:dyDescent="0.35">
      <c r="A51" t="s">
        <v>218</v>
      </c>
      <c r="B51" s="2">
        <v>45711</v>
      </c>
      <c r="C51" t="s">
        <v>219</v>
      </c>
      <c r="D51" t="s">
        <v>45</v>
      </c>
      <c r="E51" t="s">
        <v>82</v>
      </c>
      <c r="F51" t="s">
        <v>220</v>
      </c>
      <c r="G51" t="s">
        <v>30</v>
      </c>
      <c r="H51" t="s">
        <v>31</v>
      </c>
      <c r="I51" t="s">
        <v>108</v>
      </c>
      <c r="J51" t="s">
        <v>23</v>
      </c>
      <c r="K51">
        <v>370</v>
      </c>
      <c r="L51">
        <v>5</v>
      </c>
      <c r="M51" s="1">
        <v>0.05</v>
      </c>
      <c r="N51">
        <v>56</v>
      </c>
      <c r="O51" t="s">
        <v>24</v>
      </c>
    </row>
    <row r="52" spans="1:15" x14ac:dyDescent="0.35">
      <c r="A52" t="s">
        <v>221</v>
      </c>
      <c r="B52" s="2">
        <v>45712</v>
      </c>
      <c r="C52" t="s">
        <v>222</v>
      </c>
      <c r="D52" t="s">
        <v>27</v>
      </c>
      <c r="E52" t="s">
        <v>86</v>
      </c>
      <c r="F52" t="s">
        <v>223</v>
      </c>
      <c r="G52" t="s">
        <v>20</v>
      </c>
      <c r="H52" t="s">
        <v>62</v>
      </c>
      <c r="I52" t="s">
        <v>63</v>
      </c>
      <c r="J52" t="s">
        <v>33</v>
      </c>
      <c r="K52">
        <v>680</v>
      </c>
      <c r="L52">
        <v>4</v>
      </c>
      <c r="M52" s="1">
        <v>0.1</v>
      </c>
      <c r="N52">
        <v>82</v>
      </c>
      <c r="O52" t="s">
        <v>34</v>
      </c>
    </row>
    <row r="53" spans="1:15" x14ac:dyDescent="0.35">
      <c r="A53" t="s">
        <v>224</v>
      </c>
      <c r="B53" s="2">
        <v>45713</v>
      </c>
      <c r="C53" t="s">
        <v>225</v>
      </c>
      <c r="D53" t="s">
        <v>17</v>
      </c>
      <c r="E53" t="s">
        <v>18</v>
      </c>
      <c r="F53" t="s">
        <v>226</v>
      </c>
      <c r="G53" t="s">
        <v>30</v>
      </c>
      <c r="H53" t="s">
        <v>69</v>
      </c>
      <c r="I53" t="s">
        <v>70</v>
      </c>
      <c r="J53" t="s">
        <v>23</v>
      </c>
      <c r="K53">
        <v>330</v>
      </c>
      <c r="L53">
        <v>5</v>
      </c>
      <c r="M53" s="1">
        <v>0.05</v>
      </c>
      <c r="N53">
        <v>50</v>
      </c>
      <c r="O53" t="s">
        <v>24</v>
      </c>
    </row>
    <row r="54" spans="1:15" x14ac:dyDescent="0.35">
      <c r="A54" t="s">
        <v>227</v>
      </c>
      <c r="B54" s="2">
        <v>45714</v>
      </c>
      <c r="C54" t="s">
        <v>228</v>
      </c>
      <c r="D54" t="s">
        <v>66</v>
      </c>
      <c r="E54" t="s">
        <v>98</v>
      </c>
      <c r="F54" t="s">
        <v>229</v>
      </c>
      <c r="G54" t="s">
        <v>55</v>
      </c>
      <c r="H54" t="s">
        <v>56</v>
      </c>
      <c r="I54" t="s">
        <v>57</v>
      </c>
      <c r="J54" t="s">
        <v>23</v>
      </c>
      <c r="K54">
        <v>820</v>
      </c>
      <c r="L54">
        <v>3</v>
      </c>
      <c r="M54" s="1">
        <v>0.1</v>
      </c>
      <c r="N54">
        <v>98</v>
      </c>
      <c r="O54" t="s">
        <v>34</v>
      </c>
    </row>
    <row r="55" spans="1:15" x14ac:dyDescent="0.35">
      <c r="A55" t="s">
        <v>230</v>
      </c>
      <c r="B55" s="2">
        <v>45715</v>
      </c>
      <c r="C55" t="s">
        <v>231</v>
      </c>
      <c r="D55" t="s">
        <v>37</v>
      </c>
      <c r="E55" t="s">
        <v>102</v>
      </c>
      <c r="F55" t="s">
        <v>232</v>
      </c>
      <c r="G55" t="s">
        <v>20</v>
      </c>
      <c r="H55" t="s">
        <v>48</v>
      </c>
      <c r="I55" t="s">
        <v>116</v>
      </c>
      <c r="J55" t="s">
        <v>33</v>
      </c>
      <c r="K55">
        <v>420</v>
      </c>
      <c r="L55">
        <v>7</v>
      </c>
      <c r="M55" s="1">
        <v>0.05</v>
      </c>
      <c r="N55">
        <v>63</v>
      </c>
      <c r="O55" t="s">
        <v>42</v>
      </c>
    </row>
    <row r="56" spans="1:15" x14ac:dyDescent="0.35">
      <c r="A56" t="s">
        <v>233</v>
      </c>
      <c r="B56" s="2">
        <v>45716</v>
      </c>
      <c r="C56" t="s">
        <v>234</v>
      </c>
      <c r="D56" t="s">
        <v>45</v>
      </c>
      <c r="E56" t="s">
        <v>46</v>
      </c>
      <c r="F56" t="s">
        <v>235</v>
      </c>
      <c r="G56" t="s">
        <v>30</v>
      </c>
      <c r="H56" t="s">
        <v>40</v>
      </c>
      <c r="I56" t="s">
        <v>74</v>
      </c>
      <c r="J56" t="s">
        <v>23</v>
      </c>
      <c r="K56">
        <v>980</v>
      </c>
      <c r="L56">
        <v>3</v>
      </c>
      <c r="M56" s="1">
        <v>0.1</v>
      </c>
      <c r="N56">
        <v>118</v>
      </c>
      <c r="O56" t="s">
        <v>24</v>
      </c>
    </row>
    <row r="57" spans="1:15" x14ac:dyDescent="0.35">
      <c r="A57" t="s">
        <v>236</v>
      </c>
      <c r="B57" s="2">
        <v>45717</v>
      </c>
      <c r="C57" t="s">
        <v>237</v>
      </c>
      <c r="D57" t="s">
        <v>27</v>
      </c>
      <c r="E57" t="s">
        <v>111</v>
      </c>
      <c r="F57" t="s">
        <v>238</v>
      </c>
      <c r="G57" t="s">
        <v>88</v>
      </c>
      <c r="H57" t="s">
        <v>89</v>
      </c>
      <c r="I57" t="s">
        <v>90</v>
      </c>
      <c r="J57" t="s">
        <v>23</v>
      </c>
      <c r="K57">
        <v>740</v>
      </c>
      <c r="L57">
        <v>3</v>
      </c>
      <c r="M57" s="1">
        <v>0.05</v>
      </c>
      <c r="N57">
        <v>111</v>
      </c>
      <c r="O57" t="s">
        <v>34</v>
      </c>
    </row>
    <row r="58" spans="1:15" x14ac:dyDescent="0.35">
      <c r="A58" t="s">
        <v>239</v>
      </c>
      <c r="B58" s="2">
        <v>45718</v>
      </c>
      <c r="C58" t="s">
        <v>240</v>
      </c>
      <c r="D58" t="s">
        <v>17</v>
      </c>
      <c r="E58" t="s">
        <v>53</v>
      </c>
      <c r="F58" t="s">
        <v>241</v>
      </c>
      <c r="G58" t="s">
        <v>55</v>
      </c>
      <c r="H58" t="s">
        <v>56</v>
      </c>
      <c r="I58" t="s">
        <v>79</v>
      </c>
      <c r="J58" t="s">
        <v>33</v>
      </c>
      <c r="K58">
        <v>880</v>
      </c>
      <c r="L58">
        <v>3</v>
      </c>
      <c r="M58" s="1">
        <v>0.05</v>
      </c>
      <c r="N58">
        <v>132</v>
      </c>
      <c r="O58" t="s">
        <v>24</v>
      </c>
    </row>
    <row r="59" spans="1:15" x14ac:dyDescent="0.35">
      <c r="A59" t="s">
        <v>242</v>
      </c>
      <c r="B59" s="2">
        <v>45719</v>
      </c>
      <c r="C59" t="s">
        <v>243</v>
      </c>
      <c r="D59" t="s">
        <v>66</v>
      </c>
      <c r="E59" t="s">
        <v>119</v>
      </c>
      <c r="F59" t="s">
        <v>244</v>
      </c>
      <c r="G59" t="s">
        <v>30</v>
      </c>
      <c r="H59" t="s">
        <v>31</v>
      </c>
      <c r="I59" t="s">
        <v>128</v>
      </c>
      <c r="J59" t="s">
        <v>23</v>
      </c>
      <c r="K59">
        <v>670</v>
      </c>
      <c r="L59">
        <v>4</v>
      </c>
      <c r="M59" s="1">
        <v>0.1</v>
      </c>
      <c r="N59">
        <v>80</v>
      </c>
      <c r="O59" t="s">
        <v>42</v>
      </c>
    </row>
    <row r="60" spans="1:15" x14ac:dyDescent="0.35">
      <c r="A60" t="s">
        <v>245</v>
      </c>
      <c r="B60" s="2">
        <v>45720</v>
      </c>
      <c r="C60" t="s">
        <v>246</v>
      </c>
      <c r="D60" t="s">
        <v>37</v>
      </c>
      <c r="E60" t="s">
        <v>123</v>
      </c>
      <c r="F60" t="s">
        <v>247</v>
      </c>
      <c r="G60" t="s">
        <v>30</v>
      </c>
      <c r="H60" t="s">
        <v>31</v>
      </c>
      <c r="I60" t="s">
        <v>32</v>
      </c>
      <c r="J60" t="s">
        <v>23</v>
      </c>
      <c r="K60">
        <v>460</v>
      </c>
      <c r="L60">
        <v>8</v>
      </c>
      <c r="M60" s="1">
        <v>0.05</v>
      </c>
      <c r="N60">
        <v>69</v>
      </c>
      <c r="O60" t="s">
        <v>34</v>
      </c>
    </row>
    <row r="61" spans="1:15" x14ac:dyDescent="0.35">
      <c r="A61" t="s">
        <v>248</v>
      </c>
      <c r="B61" s="2">
        <v>45721</v>
      </c>
      <c r="C61" t="s">
        <v>249</v>
      </c>
      <c r="D61" t="s">
        <v>45</v>
      </c>
      <c r="E61" t="s">
        <v>82</v>
      </c>
      <c r="F61" t="s">
        <v>250</v>
      </c>
      <c r="G61" t="s">
        <v>20</v>
      </c>
      <c r="H61" t="s">
        <v>21</v>
      </c>
      <c r="I61" t="s">
        <v>22</v>
      </c>
      <c r="J61" t="s">
        <v>50</v>
      </c>
      <c r="K61">
        <v>780</v>
      </c>
      <c r="L61">
        <v>4</v>
      </c>
      <c r="M61" s="1">
        <v>0.1</v>
      </c>
      <c r="N61">
        <v>94</v>
      </c>
      <c r="O61" t="s">
        <v>24</v>
      </c>
    </row>
    <row r="62" spans="1:15" x14ac:dyDescent="0.35">
      <c r="A62" t="s">
        <v>251</v>
      </c>
      <c r="B62" s="2">
        <v>45722</v>
      </c>
      <c r="C62" t="s">
        <v>252</v>
      </c>
      <c r="D62" t="s">
        <v>17</v>
      </c>
      <c r="E62" t="s">
        <v>18</v>
      </c>
      <c r="F62" t="s">
        <v>253</v>
      </c>
      <c r="G62" t="s">
        <v>20</v>
      </c>
      <c r="H62" t="s">
        <v>62</v>
      </c>
      <c r="I62" t="s">
        <v>132</v>
      </c>
      <c r="J62" t="s">
        <v>23</v>
      </c>
      <c r="K62">
        <v>1320</v>
      </c>
      <c r="L62">
        <v>2</v>
      </c>
      <c r="M62" s="1">
        <v>0.05</v>
      </c>
      <c r="N62">
        <v>198</v>
      </c>
      <c r="O62" t="s">
        <v>34</v>
      </c>
    </row>
    <row r="63" spans="1:15" x14ac:dyDescent="0.35">
      <c r="A63" t="s">
        <v>254</v>
      </c>
      <c r="B63" s="2">
        <v>45723</v>
      </c>
      <c r="C63" t="s">
        <v>255</v>
      </c>
      <c r="D63" t="s">
        <v>27</v>
      </c>
      <c r="E63" t="s">
        <v>28</v>
      </c>
      <c r="F63" t="s">
        <v>256</v>
      </c>
      <c r="G63" t="s">
        <v>20</v>
      </c>
      <c r="H63" t="s">
        <v>94</v>
      </c>
      <c r="I63" t="s">
        <v>95</v>
      </c>
      <c r="J63" t="s">
        <v>23</v>
      </c>
      <c r="K63">
        <v>510</v>
      </c>
      <c r="L63">
        <v>7</v>
      </c>
      <c r="M63" s="1">
        <v>0.1</v>
      </c>
      <c r="N63">
        <v>61</v>
      </c>
      <c r="O63" t="s">
        <v>42</v>
      </c>
    </row>
    <row r="64" spans="1:15" x14ac:dyDescent="0.35">
      <c r="A64" t="s">
        <v>257</v>
      </c>
      <c r="B64" s="2">
        <v>45724</v>
      </c>
      <c r="C64" t="s">
        <v>258</v>
      </c>
      <c r="D64" t="s">
        <v>37</v>
      </c>
      <c r="E64" t="s">
        <v>38</v>
      </c>
      <c r="F64" t="s">
        <v>259</v>
      </c>
      <c r="G64" t="s">
        <v>30</v>
      </c>
      <c r="H64" t="s">
        <v>40</v>
      </c>
      <c r="I64" t="s">
        <v>41</v>
      </c>
      <c r="J64" t="s">
        <v>33</v>
      </c>
      <c r="K64">
        <v>470</v>
      </c>
      <c r="L64">
        <v>7</v>
      </c>
      <c r="M64" s="1">
        <v>0.05</v>
      </c>
      <c r="N64">
        <v>71</v>
      </c>
      <c r="O64" t="s">
        <v>24</v>
      </c>
    </row>
    <row r="65" spans="1:15" x14ac:dyDescent="0.35">
      <c r="A65" t="s">
        <v>260</v>
      </c>
      <c r="B65" s="2">
        <v>45725</v>
      </c>
      <c r="C65" t="s">
        <v>261</v>
      </c>
      <c r="D65" t="s">
        <v>45</v>
      </c>
      <c r="E65" t="s">
        <v>46</v>
      </c>
      <c r="F65" t="s">
        <v>262</v>
      </c>
      <c r="G65" t="s">
        <v>55</v>
      </c>
      <c r="H65" t="s">
        <v>56</v>
      </c>
      <c r="I65" t="s">
        <v>57</v>
      </c>
      <c r="J65" t="s">
        <v>23</v>
      </c>
      <c r="K65">
        <v>530</v>
      </c>
      <c r="L65">
        <v>5</v>
      </c>
      <c r="M65" s="1">
        <v>0.1</v>
      </c>
      <c r="N65">
        <v>64</v>
      </c>
      <c r="O65" t="s">
        <v>24</v>
      </c>
    </row>
    <row r="66" spans="1:15" x14ac:dyDescent="0.35">
      <c r="A66" t="s">
        <v>263</v>
      </c>
      <c r="B66" s="2">
        <v>45726</v>
      </c>
      <c r="C66" t="s">
        <v>264</v>
      </c>
      <c r="D66" t="s">
        <v>17</v>
      </c>
      <c r="E66" t="s">
        <v>53</v>
      </c>
      <c r="F66" t="s">
        <v>265</v>
      </c>
      <c r="G66" t="s">
        <v>30</v>
      </c>
      <c r="H66" t="s">
        <v>31</v>
      </c>
      <c r="I66" t="s">
        <v>108</v>
      </c>
      <c r="J66" t="s">
        <v>23</v>
      </c>
      <c r="K66">
        <v>810</v>
      </c>
      <c r="L66">
        <v>4</v>
      </c>
      <c r="M66" s="1">
        <v>0.05</v>
      </c>
      <c r="N66">
        <v>122</v>
      </c>
      <c r="O66" t="s">
        <v>34</v>
      </c>
    </row>
    <row r="67" spans="1:15" x14ac:dyDescent="0.35">
      <c r="A67" t="s">
        <v>266</v>
      </c>
      <c r="B67" s="2">
        <v>45727</v>
      </c>
      <c r="C67" t="s">
        <v>267</v>
      </c>
      <c r="D67" t="s">
        <v>27</v>
      </c>
      <c r="E67" t="s">
        <v>60</v>
      </c>
      <c r="F67" t="s">
        <v>268</v>
      </c>
      <c r="G67" t="s">
        <v>20</v>
      </c>
      <c r="H67" t="s">
        <v>48</v>
      </c>
      <c r="I67" t="s">
        <v>49</v>
      </c>
      <c r="J67" t="s">
        <v>50</v>
      </c>
      <c r="K67">
        <v>620</v>
      </c>
      <c r="L67">
        <v>5</v>
      </c>
      <c r="M67" s="1">
        <v>0.05</v>
      </c>
      <c r="N67">
        <v>93</v>
      </c>
      <c r="O67" t="s">
        <v>42</v>
      </c>
    </row>
    <row r="68" spans="1:15" x14ac:dyDescent="0.35">
      <c r="A68" t="s">
        <v>269</v>
      </c>
      <c r="B68" s="2">
        <v>45728</v>
      </c>
      <c r="C68" t="s">
        <v>270</v>
      </c>
      <c r="D68" t="s">
        <v>66</v>
      </c>
      <c r="E68" t="s">
        <v>67</v>
      </c>
      <c r="F68" t="s">
        <v>271</v>
      </c>
      <c r="G68" t="s">
        <v>20</v>
      </c>
      <c r="H68" t="s">
        <v>21</v>
      </c>
      <c r="I68" t="s">
        <v>22</v>
      </c>
      <c r="J68" t="s">
        <v>23</v>
      </c>
      <c r="K68">
        <v>560</v>
      </c>
      <c r="L68">
        <v>8</v>
      </c>
      <c r="M68" s="1">
        <v>0.1</v>
      </c>
      <c r="N68">
        <v>67</v>
      </c>
      <c r="O68" t="s">
        <v>24</v>
      </c>
    </row>
    <row r="69" spans="1:15" x14ac:dyDescent="0.35">
      <c r="A69" t="s">
        <v>272</v>
      </c>
      <c r="B69" s="2">
        <v>45729</v>
      </c>
      <c r="C69" t="s">
        <v>273</v>
      </c>
      <c r="D69" t="s">
        <v>17</v>
      </c>
      <c r="E69" t="s">
        <v>18</v>
      </c>
      <c r="F69" t="s">
        <v>274</v>
      </c>
      <c r="G69" t="s">
        <v>30</v>
      </c>
      <c r="H69" t="s">
        <v>40</v>
      </c>
      <c r="I69" t="s">
        <v>139</v>
      </c>
      <c r="J69" t="s">
        <v>33</v>
      </c>
      <c r="K69">
        <v>490</v>
      </c>
      <c r="L69">
        <v>5</v>
      </c>
      <c r="M69" s="1">
        <v>0.05</v>
      </c>
      <c r="N69">
        <v>74</v>
      </c>
      <c r="O69" t="s">
        <v>34</v>
      </c>
    </row>
    <row r="70" spans="1:15" x14ac:dyDescent="0.35">
      <c r="A70" t="s">
        <v>275</v>
      </c>
      <c r="B70" s="2">
        <v>45730</v>
      </c>
      <c r="C70" t="s">
        <v>276</v>
      </c>
      <c r="D70" t="s">
        <v>37</v>
      </c>
      <c r="E70" t="s">
        <v>77</v>
      </c>
      <c r="F70" t="s">
        <v>277</v>
      </c>
      <c r="G70" t="s">
        <v>55</v>
      </c>
      <c r="H70" t="s">
        <v>56</v>
      </c>
      <c r="I70" t="s">
        <v>79</v>
      </c>
      <c r="J70" t="s">
        <v>23</v>
      </c>
      <c r="K70">
        <v>390</v>
      </c>
      <c r="L70">
        <v>8</v>
      </c>
      <c r="M70" s="1">
        <v>0.1</v>
      </c>
      <c r="N70">
        <v>47</v>
      </c>
      <c r="O70" t="s">
        <v>42</v>
      </c>
    </row>
    <row r="71" spans="1:15" x14ac:dyDescent="0.35">
      <c r="A71" t="s">
        <v>278</v>
      </c>
      <c r="B71" s="2">
        <v>45731</v>
      </c>
      <c r="C71" t="s">
        <v>279</v>
      </c>
      <c r="D71" t="s">
        <v>45</v>
      </c>
      <c r="E71" t="s">
        <v>82</v>
      </c>
      <c r="F71" t="s">
        <v>280</v>
      </c>
      <c r="G71" t="s">
        <v>30</v>
      </c>
      <c r="H71" t="s">
        <v>31</v>
      </c>
      <c r="I71" t="s">
        <v>128</v>
      </c>
      <c r="J71" t="s">
        <v>23</v>
      </c>
      <c r="K71">
        <v>690</v>
      </c>
      <c r="L71">
        <v>4</v>
      </c>
      <c r="M71" s="1">
        <v>0.05</v>
      </c>
      <c r="N71">
        <v>104</v>
      </c>
      <c r="O71" t="s">
        <v>24</v>
      </c>
    </row>
    <row r="72" spans="1:15" x14ac:dyDescent="0.35">
      <c r="A72" t="s">
        <v>281</v>
      </c>
      <c r="B72" s="2">
        <v>45732</v>
      </c>
      <c r="C72" t="s">
        <v>282</v>
      </c>
      <c r="D72" t="s">
        <v>27</v>
      </c>
      <c r="E72" t="s">
        <v>86</v>
      </c>
      <c r="F72" t="s">
        <v>283</v>
      </c>
      <c r="G72" t="s">
        <v>20</v>
      </c>
      <c r="H72" t="s">
        <v>62</v>
      </c>
      <c r="I72" t="s">
        <v>63</v>
      </c>
      <c r="J72" t="s">
        <v>33</v>
      </c>
      <c r="K72">
        <v>830</v>
      </c>
      <c r="L72">
        <v>3</v>
      </c>
      <c r="M72" s="1">
        <v>0.1</v>
      </c>
      <c r="N72">
        <v>100</v>
      </c>
      <c r="O72" t="s">
        <v>34</v>
      </c>
    </row>
    <row r="73" spans="1:15" x14ac:dyDescent="0.35">
      <c r="A73" t="s">
        <v>284</v>
      </c>
      <c r="B73" s="2">
        <v>45733</v>
      </c>
      <c r="C73" t="s">
        <v>285</v>
      </c>
      <c r="D73" t="s">
        <v>17</v>
      </c>
      <c r="E73" t="s">
        <v>18</v>
      </c>
      <c r="F73" t="s">
        <v>286</v>
      </c>
      <c r="G73" t="s">
        <v>30</v>
      </c>
      <c r="H73" t="s">
        <v>69</v>
      </c>
      <c r="I73" t="s">
        <v>70</v>
      </c>
      <c r="J73" t="s">
        <v>23</v>
      </c>
      <c r="K73">
        <v>610</v>
      </c>
      <c r="L73">
        <v>4</v>
      </c>
      <c r="M73" s="1">
        <v>0.05</v>
      </c>
      <c r="N73">
        <v>92</v>
      </c>
      <c r="O73" t="s">
        <v>24</v>
      </c>
    </row>
    <row r="74" spans="1:15" x14ac:dyDescent="0.35">
      <c r="A74" t="s">
        <v>287</v>
      </c>
      <c r="B74" s="2">
        <v>45734</v>
      </c>
      <c r="C74" t="s">
        <v>288</v>
      </c>
      <c r="D74" t="s">
        <v>66</v>
      </c>
      <c r="E74" t="s">
        <v>98</v>
      </c>
      <c r="F74" t="s">
        <v>289</v>
      </c>
      <c r="G74" t="s">
        <v>55</v>
      </c>
      <c r="H74" t="s">
        <v>56</v>
      </c>
      <c r="I74" t="s">
        <v>57</v>
      </c>
      <c r="J74" t="s">
        <v>23</v>
      </c>
      <c r="K74">
        <v>760</v>
      </c>
      <c r="L74">
        <v>3</v>
      </c>
      <c r="M74" s="1">
        <v>0.1</v>
      </c>
      <c r="N74">
        <v>91</v>
      </c>
      <c r="O74" t="s">
        <v>34</v>
      </c>
    </row>
    <row r="75" spans="1:15" x14ac:dyDescent="0.35">
      <c r="A75" t="s">
        <v>290</v>
      </c>
      <c r="B75" s="2">
        <v>45735</v>
      </c>
      <c r="C75" t="s">
        <v>291</v>
      </c>
      <c r="D75" t="s">
        <v>37</v>
      </c>
      <c r="E75" t="s">
        <v>102</v>
      </c>
      <c r="F75" t="s">
        <v>292</v>
      </c>
      <c r="G75" t="s">
        <v>20</v>
      </c>
      <c r="H75" t="s">
        <v>48</v>
      </c>
      <c r="I75" t="s">
        <v>116</v>
      </c>
      <c r="J75" t="s">
        <v>33</v>
      </c>
      <c r="K75">
        <v>450</v>
      </c>
      <c r="L75">
        <v>7</v>
      </c>
      <c r="M75" s="1">
        <v>0.05</v>
      </c>
      <c r="N75">
        <v>68</v>
      </c>
      <c r="O75" t="s">
        <v>42</v>
      </c>
    </row>
    <row r="76" spans="1:15" x14ac:dyDescent="0.35">
      <c r="A76" t="s">
        <v>293</v>
      </c>
      <c r="B76" s="2">
        <v>45736</v>
      </c>
      <c r="C76" t="s">
        <v>294</v>
      </c>
      <c r="D76" t="s">
        <v>45</v>
      </c>
      <c r="E76" t="s">
        <v>46</v>
      </c>
      <c r="F76" t="s">
        <v>295</v>
      </c>
      <c r="G76" t="s">
        <v>30</v>
      </c>
      <c r="H76" t="s">
        <v>40</v>
      </c>
      <c r="I76" t="s">
        <v>74</v>
      </c>
      <c r="J76" t="s">
        <v>23</v>
      </c>
      <c r="K76">
        <v>870</v>
      </c>
      <c r="L76">
        <v>3</v>
      </c>
      <c r="M76" s="1">
        <v>0.1</v>
      </c>
      <c r="N76">
        <v>104</v>
      </c>
      <c r="O76" t="s">
        <v>24</v>
      </c>
    </row>
    <row r="77" spans="1:15" x14ac:dyDescent="0.35">
      <c r="A77" t="s">
        <v>296</v>
      </c>
      <c r="B77" s="2">
        <v>45737</v>
      </c>
      <c r="C77" t="s">
        <v>297</v>
      </c>
      <c r="D77" t="s">
        <v>27</v>
      </c>
      <c r="E77" t="s">
        <v>111</v>
      </c>
      <c r="F77" t="s">
        <v>298</v>
      </c>
      <c r="G77" t="s">
        <v>88</v>
      </c>
      <c r="H77" t="s">
        <v>89</v>
      </c>
      <c r="I77" t="s">
        <v>90</v>
      </c>
      <c r="J77" t="s">
        <v>23</v>
      </c>
      <c r="K77">
        <v>640</v>
      </c>
      <c r="L77">
        <v>6</v>
      </c>
      <c r="M77" s="1">
        <v>0.05</v>
      </c>
      <c r="N77">
        <v>96</v>
      </c>
      <c r="O77" t="s">
        <v>34</v>
      </c>
    </row>
    <row r="78" spans="1:15" x14ac:dyDescent="0.35">
      <c r="A78" t="s">
        <v>299</v>
      </c>
      <c r="B78" s="2">
        <v>45738</v>
      </c>
      <c r="C78" t="s">
        <v>300</v>
      </c>
      <c r="D78" t="s">
        <v>17</v>
      </c>
      <c r="E78" t="s">
        <v>53</v>
      </c>
      <c r="F78" t="s">
        <v>301</v>
      </c>
      <c r="G78" t="s">
        <v>30</v>
      </c>
      <c r="H78" t="s">
        <v>40</v>
      </c>
      <c r="I78" t="s">
        <v>41</v>
      </c>
      <c r="J78" t="s">
        <v>33</v>
      </c>
      <c r="K78">
        <v>720</v>
      </c>
      <c r="L78">
        <v>4</v>
      </c>
      <c r="M78" s="1">
        <v>0.05</v>
      </c>
      <c r="N78">
        <v>108</v>
      </c>
      <c r="O78" t="s">
        <v>24</v>
      </c>
    </row>
    <row r="79" spans="1:15" x14ac:dyDescent="0.35">
      <c r="A79" t="s">
        <v>302</v>
      </c>
      <c r="B79" s="2">
        <v>45739</v>
      </c>
      <c r="C79" t="s">
        <v>303</v>
      </c>
      <c r="D79" t="s">
        <v>66</v>
      </c>
      <c r="E79" t="s">
        <v>119</v>
      </c>
      <c r="F79" t="s">
        <v>304</v>
      </c>
      <c r="G79" t="s">
        <v>55</v>
      </c>
      <c r="H79" t="s">
        <v>56</v>
      </c>
      <c r="I79" t="s">
        <v>79</v>
      </c>
      <c r="J79" t="s">
        <v>23</v>
      </c>
      <c r="K79">
        <v>890</v>
      </c>
      <c r="L79">
        <v>3</v>
      </c>
      <c r="M79" s="1">
        <v>0.1</v>
      </c>
      <c r="N79">
        <v>107</v>
      </c>
      <c r="O79" t="s">
        <v>42</v>
      </c>
    </row>
    <row r="80" spans="1:15" x14ac:dyDescent="0.35">
      <c r="A80" t="s">
        <v>305</v>
      </c>
      <c r="B80" s="2">
        <v>45740</v>
      </c>
      <c r="C80" t="s">
        <v>306</v>
      </c>
      <c r="D80" t="s">
        <v>37</v>
      </c>
      <c r="E80" t="s">
        <v>123</v>
      </c>
      <c r="F80" t="s">
        <v>307</v>
      </c>
      <c r="G80" t="s">
        <v>30</v>
      </c>
      <c r="H80" t="s">
        <v>31</v>
      </c>
      <c r="I80" t="s">
        <v>32</v>
      </c>
      <c r="J80" t="s">
        <v>23</v>
      </c>
      <c r="K80">
        <v>580</v>
      </c>
      <c r="L80">
        <v>6</v>
      </c>
      <c r="M80" s="1">
        <v>0.05</v>
      </c>
      <c r="N80">
        <v>87</v>
      </c>
      <c r="O80" t="s">
        <v>34</v>
      </c>
    </row>
    <row r="81" spans="1:15" x14ac:dyDescent="0.35">
      <c r="A81" t="s">
        <v>308</v>
      </c>
      <c r="B81" s="2">
        <v>45741</v>
      </c>
      <c r="C81" t="s">
        <v>309</v>
      </c>
      <c r="D81" t="s">
        <v>45</v>
      </c>
      <c r="E81" t="s">
        <v>82</v>
      </c>
      <c r="F81" t="s">
        <v>310</v>
      </c>
      <c r="G81" t="s">
        <v>20</v>
      </c>
      <c r="H81" t="s">
        <v>21</v>
      </c>
      <c r="I81" t="s">
        <v>22</v>
      </c>
      <c r="J81" t="s">
        <v>50</v>
      </c>
      <c r="K81">
        <v>740</v>
      </c>
      <c r="L81">
        <v>4</v>
      </c>
      <c r="M81" s="1">
        <v>0.1</v>
      </c>
      <c r="N81">
        <v>89</v>
      </c>
      <c r="O81" t="s">
        <v>24</v>
      </c>
    </row>
    <row r="82" spans="1:15" x14ac:dyDescent="0.35">
      <c r="A82" t="s">
        <v>311</v>
      </c>
      <c r="B82" s="2">
        <v>45742</v>
      </c>
      <c r="C82" t="s">
        <v>312</v>
      </c>
      <c r="D82" t="s">
        <v>17</v>
      </c>
      <c r="E82" t="s">
        <v>18</v>
      </c>
      <c r="F82" t="s">
        <v>313</v>
      </c>
      <c r="G82" t="s">
        <v>20</v>
      </c>
      <c r="H82" t="s">
        <v>62</v>
      </c>
      <c r="I82" t="s">
        <v>132</v>
      </c>
      <c r="J82" t="s">
        <v>23</v>
      </c>
      <c r="K82">
        <v>1280</v>
      </c>
      <c r="L82">
        <v>2</v>
      </c>
      <c r="M82" s="1">
        <v>0.05</v>
      </c>
      <c r="N82">
        <v>192</v>
      </c>
      <c r="O82" t="s">
        <v>34</v>
      </c>
    </row>
    <row r="83" spans="1:15" x14ac:dyDescent="0.35">
      <c r="A83" t="s">
        <v>314</v>
      </c>
      <c r="B83" s="2">
        <v>45743</v>
      </c>
      <c r="C83" t="s">
        <v>315</v>
      </c>
      <c r="D83" t="s">
        <v>27</v>
      </c>
      <c r="E83" t="s">
        <v>28</v>
      </c>
      <c r="F83" t="s">
        <v>316</v>
      </c>
      <c r="G83" t="s">
        <v>20</v>
      </c>
      <c r="H83" t="s">
        <v>94</v>
      </c>
      <c r="I83" t="s">
        <v>104</v>
      </c>
      <c r="J83" t="s">
        <v>23</v>
      </c>
      <c r="K83">
        <v>590</v>
      </c>
      <c r="L83">
        <v>8</v>
      </c>
      <c r="M83" s="1">
        <v>0.1</v>
      </c>
      <c r="N83">
        <v>71</v>
      </c>
      <c r="O83" t="s">
        <v>42</v>
      </c>
    </row>
    <row r="84" spans="1:15" x14ac:dyDescent="0.35">
      <c r="A84" t="s">
        <v>317</v>
      </c>
      <c r="B84" s="2">
        <v>45744</v>
      </c>
      <c r="C84" t="s">
        <v>318</v>
      </c>
      <c r="D84" t="s">
        <v>37</v>
      </c>
      <c r="E84" t="s">
        <v>38</v>
      </c>
      <c r="F84" t="s">
        <v>319</v>
      </c>
      <c r="G84" t="s">
        <v>30</v>
      </c>
      <c r="H84" t="s">
        <v>40</v>
      </c>
      <c r="I84" t="s">
        <v>139</v>
      </c>
      <c r="J84" t="s">
        <v>33</v>
      </c>
      <c r="K84">
        <v>510</v>
      </c>
      <c r="L84">
        <v>7</v>
      </c>
      <c r="M84" s="1">
        <v>0.05</v>
      </c>
      <c r="N84">
        <v>77</v>
      </c>
      <c r="O84" t="s">
        <v>24</v>
      </c>
    </row>
    <row r="85" spans="1:15" x14ac:dyDescent="0.35">
      <c r="A85" t="s">
        <v>320</v>
      </c>
      <c r="B85" s="2">
        <v>45745</v>
      </c>
      <c r="C85" t="s">
        <v>321</v>
      </c>
      <c r="D85" t="s">
        <v>45</v>
      </c>
      <c r="E85" t="s">
        <v>46</v>
      </c>
      <c r="F85" t="s">
        <v>322</v>
      </c>
      <c r="G85" t="s">
        <v>55</v>
      </c>
      <c r="H85" t="s">
        <v>56</v>
      </c>
      <c r="I85" t="s">
        <v>57</v>
      </c>
      <c r="J85" t="s">
        <v>23</v>
      </c>
      <c r="K85">
        <v>620</v>
      </c>
      <c r="L85">
        <v>5</v>
      </c>
      <c r="M85" s="1">
        <v>0.1</v>
      </c>
      <c r="N85">
        <v>74</v>
      </c>
      <c r="O85" t="s">
        <v>24</v>
      </c>
    </row>
    <row r="86" spans="1:15" x14ac:dyDescent="0.35">
      <c r="A86" t="s">
        <v>323</v>
      </c>
      <c r="B86" s="2">
        <v>45746</v>
      </c>
      <c r="C86" t="s">
        <v>324</v>
      </c>
      <c r="D86" t="s">
        <v>17</v>
      </c>
      <c r="E86" t="s">
        <v>53</v>
      </c>
      <c r="F86" t="s">
        <v>325</v>
      </c>
      <c r="G86" t="s">
        <v>30</v>
      </c>
      <c r="H86" t="s">
        <v>31</v>
      </c>
      <c r="I86" t="s">
        <v>108</v>
      </c>
      <c r="J86" t="s">
        <v>23</v>
      </c>
      <c r="K86">
        <v>850</v>
      </c>
      <c r="L86">
        <v>4</v>
      </c>
      <c r="M86" s="1">
        <v>0.05</v>
      </c>
      <c r="N86">
        <v>128</v>
      </c>
      <c r="O86" t="s">
        <v>34</v>
      </c>
    </row>
    <row r="87" spans="1:15" x14ac:dyDescent="0.35">
      <c r="A87" t="s">
        <v>326</v>
      </c>
      <c r="B87" s="2">
        <v>45747</v>
      </c>
      <c r="C87" t="s">
        <v>327</v>
      </c>
      <c r="D87" t="s">
        <v>27</v>
      </c>
      <c r="E87" t="s">
        <v>60</v>
      </c>
      <c r="F87" t="s">
        <v>328</v>
      </c>
      <c r="G87" t="s">
        <v>20</v>
      </c>
      <c r="H87" t="s">
        <v>48</v>
      </c>
      <c r="I87" t="s">
        <v>49</v>
      </c>
      <c r="J87" t="s">
        <v>50</v>
      </c>
      <c r="K87">
        <v>570</v>
      </c>
      <c r="L87">
        <v>5</v>
      </c>
      <c r="M87" s="1">
        <v>0.05</v>
      </c>
      <c r="N87">
        <v>86</v>
      </c>
      <c r="O87" t="s">
        <v>42</v>
      </c>
    </row>
    <row r="88" spans="1:15" x14ac:dyDescent="0.35">
      <c r="A88" t="s">
        <v>329</v>
      </c>
      <c r="B88" s="2">
        <v>45748</v>
      </c>
      <c r="C88" t="s">
        <v>330</v>
      </c>
      <c r="D88" t="s">
        <v>66</v>
      </c>
      <c r="E88" t="s">
        <v>67</v>
      </c>
      <c r="F88" t="s">
        <v>331</v>
      </c>
      <c r="G88" t="s">
        <v>20</v>
      </c>
      <c r="H88" t="s">
        <v>21</v>
      </c>
      <c r="I88" t="s">
        <v>22</v>
      </c>
      <c r="J88" t="s">
        <v>23</v>
      </c>
      <c r="K88">
        <v>430</v>
      </c>
      <c r="L88">
        <v>6</v>
      </c>
      <c r="M88" s="1">
        <v>0.1</v>
      </c>
      <c r="N88">
        <v>52</v>
      </c>
      <c r="O88" t="s">
        <v>24</v>
      </c>
    </row>
    <row r="89" spans="1:15" x14ac:dyDescent="0.35">
      <c r="A89" t="s">
        <v>332</v>
      </c>
      <c r="B89" s="2">
        <v>45749</v>
      </c>
      <c r="C89" t="s">
        <v>333</v>
      </c>
      <c r="D89" t="s">
        <v>17</v>
      </c>
      <c r="E89" t="s">
        <v>18</v>
      </c>
      <c r="F89" t="s">
        <v>334</v>
      </c>
      <c r="G89" t="s">
        <v>30</v>
      </c>
      <c r="H89" t="s">
        <v>40</v>
      </c>
      <c r="I89" t="s">
        <v>41</v>
      </c>
      <c r="J89" t="s">
        <v>33</v>
      </c>
      <c r="K89">
        <v>520</v>
      </c>
      <c r="L89">
        <v>5</v>
      </c>
      <c r="M89" s="1">
        <v>0.05</v>
      </c>
      <c r="N89">
        <v>78</v>
      </c>
      <c r="O89" t="s">
        <v>34</v>
      </c>
    </row>
    <row r="90" spans="1:15" x14ac:dyDescent="0.35">
      <c r="A90" t="s">
        <v>335</v>
      </c>
      <c r="B90" s="2">
        <v>45750</v>
      </c>
      <c r="C90" t="s">
        <v>336</v>
      </c>
      <c r="D90" t="s">
        <v>37</v>
      </c>
      <c r="E90" t="s">
        <v>77</v>
      </c>
      <c r="F90" t="s">
        <v>337</v>
      </c>
      <c r="G90" t="s">
        <v>55</v>
      </c>
      <c r="H90" t="s">
        <v>56</v>
      </c>
      <c r="I90" t="s">
        <v>79</v>
      </c>
      <c r="J90" t="s">
        <v>23</v>
      </c>
      <c r="K90">
        <v>420</v>
      </c>
      <c r="L90">
        <v>8</v>
      </c>
      <c r="M90" s="1">
        <v>0.1</v>
      </c>
      <c r="N90">
        <v>50</v>
      </c>
      <c r="O90" t="s">
        <v>42</v>
      </c>
    </row>
    <row r="91" spans="1:15" x14ac:dyDescent="0.35">
      <c r="A91" t="s">
        <v>338</v>
      </c>
      <c r="B91" s="2">
        <v>45751</v>
      </c>
      <c r="C91" t="s">
        <v>339</v>
      </c>
      <c r="D91" t="s">
        <v>45</v>
      </c>
      <c r="E91" t="s">
        <v>82</v>
      </c>
      <c r="F91" t="s">
        <v>340</v>
      </c>
      <c r="G91" t="s">
        <v>30</v>
      </c>
      <c r="H91" t="s">
        <v>31</v>
      </c>
      <c r="I91" t="s">
        <v>128</v>
      </c>
      <c r="J91" t="s">
        <v>23</v>
      </c>
      <c r="K91">
        <v>680</v>
      </c>
      <c r="L91">
        <v>3</v>
      </c>
      <c r="M91" s="1">
        <v>0.05</v>
      </c>
      <c r="N91">
        <v>102</v>
      </c>
      <c r="O91" t="s">
        <v>24</v>
      </c>
    </row>
    <row r="92" spans="1:15" x14ac:dyDescent="0.35">
      <c r="A92" t="s">
        <v>341</v>
      </c>
      <c r="B92" s="2">
        <v>45752</v>
      </c>
      <c r="C92" t="s">
        <v>342</v>
      </c>
      <c r="D92" t="s">
        <v>27</v>
      </c>
      <c r="E92" t="s">
        <v>86</v>
      </c>
      <c r="F92" t="s">
        <v>343</v>
      </c>
      <c r="G92" t="s">
        <v>20</v>
      </c>
      <c r="H92" t="s">
        <v>62</v>
      </c>
      <c r="I92" t="s">
        <v>63</v>
      </c>
      <c r="J92" t="s">
        <v>33</v>
      </c>
      <c r="K92">
        <v>910</v>
      </c>
      <c r="L92">
        <v>3</v>
      </c>
      <c r="M92" s="1">
        <v>0.1</v>
      </c>
      <c r="N92">
        <v>109</v>
      </c>
      <c r="O92" t="s">
        <v>34</v>
      </c>
    </row>
    <row r="93" spans="1:15" x14ac:dyDescent="0.35">
      <c r="A93" t="s">
        <v>344</v>
      </c>
      <c r="B93" s="2">
        <v>45753</v>
      </c>
      <c r="C93" t="s">
        <v>345</v>
      </c>
      <c r="D93" t="s">
        <v>17</v>
      </c>
      <c r="E93" t="s">
        <v>18</v>
      </c>
      <c r="F93" t="s">
        <v>346</v>
      </c>
      <c r="G93" t="s">
        <v>30</v>
      </c>
      <c r="H93" t="s">
        <v>69</v>
      </c>
      <c r="I93" t="s">
        <v>70</v>
      </c>
      <c r="J93" t="s">
        <v>23</v>
      </c>
      <c r="K93">
        <v>730</v>
      </c>
      <c r="L93">
        <v>4</v>
      </c>
      <c r="M93" s="1">
        <v>0.05</v>
      </c>
      <c r="N93">
        <v>110</v>
      </c>
      <c r="O93" t="s">
        <v>24</v>
      </c>
    </row>
    <row r="94" spans="1:15" x14ac:dyDescent="0.35">
      <c r="A94" t="s">
        <v>347</v>
      </c>
      <c r="B94" s="2">
        <v>45754</v>
      </c>
      <c r="C94" t="s">
        <v>348</v>
      </c>
      <c r="D94" t="s">
        <v>66</v>
      </c>
      <c r="E94" t="s">
        <v>98</v>
      </c>
      <c r="F94" t="s">
        <v>349</v>
      </c>
      <c r="G94" t="s">
        <v>55</v>
      </c>
      <c r="H94" t="s">
        <v>56</v>
      </c>
      <c r="I94" t="s">
        <v>57</v>
      </c>
      <c r="J94" t="s">
        <v>23</v>
      </c>
      <c r="K94">
        <v>970</v>
      </c>
      <c r="L94">
        <v>3</v>
      </c>
      <c r="M94" s="1">
        <v>0.1</v>
      </c>
      <c r="N94">
        <v>116</v>
      </c>
      <c r="O94" t="s">
        <v>34</v>
      </c>
    </row>
    <row r="95" spans="1:15" x14ac:dyDescent="0.35">
      <c r="A95" t="s">
        <v>350</v>
      </c>
      <c r="B95" s="2">
        <v>45755</v>
      </c>
      <c r="C95" t="s">
        <v>351</v>
      </c>
      <c r="D95" t="s">
        <v>37</v>
      </c>
      <c r="E95" t="s">
        <v>102</v>
      </c>
      <c r="F95" t="s">
        <v>352</v>
      </c>
      <c r="G95" t="s">
        <v>20</v>
      </c>
      <c r="H95" t="s">
        <v>48</v>
      </c>
      <c r="I95" t="s">
        <v>116</v>
      </c>
      <c r="J95" t="s">
        <v>33</v>
      </c>
      <c r="K95">
        <v>480</v>
      </c>
      <c r="L95">
        <v>7</v>
      </c>
      <c r="M95" s="1">
        <v>0.05</v>
      </c>
      <c r="N95">
        <v>72</v>
      </c>
      <c r="O95" t="s">
        <v>42</v>
      </c>
    </row>
    <row r="96" spans="1:15" x14ac:dyDescent="0.35">
      <c r="A96" t="s">
        <v>353</v>
      </c>
      <c r="B96" s="2">
        <v>45756</v>
      </c>
      <c r="C96" t="s">
        <v>354</v>
      </c>
      <c r="D96" t="s">
        <v>45</v>
      </c>
      <c r="E96" t="s">
        <v>46</v>
      </c>
      <c r="F96" t="s">
        <v>202</v>
      </c>
      <c r="G96" t="s">
        <v>30</v>
      </c>
      <c r="H96" t="s">
        <v>40</v>
      </c>
      <c r="I96" t="s">
        <v>74</v>
      </c>
      <c r="J96" t="s">
        <v>23</v>
      </c>
      <c r="K96">
        <v>550</v>
      </c>
      <c r="L96">
        <v>5</v>
      </c>
      <c r="M96" s="1">
        <v>0.1</v>
      </c>
      <c r="N96">
        <v>66</v>
      </c>
      <c r="O96" t="s">
        <v>24</v>
      </c>
    </row>
    <row r="97" spans="1:15" x14ac:dyDescent="0.35">
      <c r="A97" t="s">
        <v>355</v>
      </c>
      <c r="B97" s="2">
        <v>45757</v>
      </c>
      <c r="C97" t="s">
        <v>356</v>
      </c>
      <c r="D97" t="s">
        <v>27</v>
      </c>
      <c r="E97" t="s">
        <v>111</v>
      </c>
      <c r="F97" t="s">
        <v>357</v>
      </c>
      <c r="G97" t="s">
        <v>88</v>
      </c>
      <c r="H97" t="s">
        <v>89</v>
      </c>
      <c r="I97" t="s">
        <v>90</v>
      </c>
      <c r="J97" t="s">
        <v>23</v>
      </c>
      <c r="K97">
        <v>1020</v>
      </c>
      <c r="L97">
        <v>2</v>
      </c>
      <c r="M97" s="1">
        <v>0.05</v>
      </c>
      <c r="N97">
        <v>153</v>
      </c>
      <c r="O97" t="s">
        <v>34</v>
      </c>
    </row>
    <row r="98" spans="1:15" x14ac:dyDescent="0.35">
      <c r="A98" t="s">
        <v>358</v>
      </c>
      <c r="B98" s="2">
        <v>45758</v>
      </c>
      <c r="C98" t="s">
        <v>359</v>
      </c>
      <c r="D98" t="s">
        <v>17</v>
      </c>
      <c r="E98" t="s">
        <v>53</v>
      </c>
      <c r="F98" t="s">
        <v>360</v>
      </c>
      <c r="G98" t="s">
        <v>30</v>
      </c>
      <c r="H98" t="s">
        <v>40</v>
      </c>
      <c r="I98" t="s">
        <v>41</v>
      </c>
      <c r="J98" t="s">
        <v>33</v>
      </c>
      <c r="K98">
        <v>790</v>
      </c>
      <c r="L98">
        <v>4</v>
      </c>
      <c r="M98" s="1">
        <v>0.05</v>
      </c>
      <c r="N98">
        <v>119</v>
      </c>
      <c r="O98" t="s">
        <v>24</v>
      </c>
    </row>
    <row r="99" spans="1:15" x14ac:dyDescent="0.35">
      <c r="A99" t="s">
        <v>361</v>
      </c>
      <c r="B99" s="2">
        <v>45759</v>
      </c>
      <c r="C99" t="s">
        <v>362</v>
      </c>
      <c r="D99" t="s">
        <v>66</v>
      </c>
      <c r="E99" t="s">
        <v>119</v>
      </c>
      <c r="F99" t="s">
        <v>363</v>
      </c>
      <c r="G99" t="s">
        <v>55</v>
      </c>
      <c r="H99" t="s">
        <v>56</v>
      </c>
      <c r="I99" t="s">
        <v>79</v>
      </c>
      <c r="J99" t="s">
        <v>23</v>
      </c>
      <c r="K99">
        <v>720</v>
      </c>
      <c r="L99">
        <v>4</v>
      </c>
      <c r="M99" s="1">
        <v>0.1</v>
      </c>
      <c r="N99">
        <v>86</v>
      </c>
      <c r="O99" t="s">
        <v>42</v>
      </c>
    </row>
    <row r="100" spans="1:15" x14ac:dyDescent="0.35">
      <c r="A100" t="s">
        <v>364</v>
      </c>
      <c r="B100" s="2">
        <v>45760</v>
      </c>
      <c r="C100" t="s">
        <v>106</v>
      </c>
      <c r="D100" t="s">
        <v>37</v>
      </c>
      <c r="E100" t="s">
        <v>123</v>
      </c>
      <c r="F100" t="s">
        <v>365</v>
      </c>
      <c r="G100" t="s">
        <v>30</v>
      </c>
      <c r="H100" t="s">
        <v>31</v>
      </c>
      <c r="I100" t="s">
        <v>32</v>
      </c>
      <c r="J100" t="s">
        <v>23</v>
      </c>
      <c r="K100">
        <v>690</v>
      </c>
      <c r="L100">
        <v>5</v>
      </c>
      <c r="M100" s="1">
        <v>0.05</v>
      </c>
      <c r="N100">
        <v>104</v>
      </c>
      <c r="O100" t="s">
        <v>34</v>
      </c>
    </row>
    <row r="101" spans="1:15" x14ac:dyDescent="0.35">
      <c r="A101" t="s">
        <v>366</v>
      </c>
      <c r="B101" s="2">
        <v>45761</v>
      </c>
      <c r="C101" t="s">
        <v>367</v>
      </c>
      <c r="D101" t="s">
        <v>45</v>
      </c>
      <c r="E101" t="s">
        <v>82</v>
      </c>
      <c r="F101" t="s">
        <v>368</v>
      </c>
      <c r="G101" t="s">
        <v>20</v>
      </c>
      <c r="H101" t="s">
        <v>21</v>
      </c>
      <c r="I101" t="s">
        <v>22</v>
      </c>
      <c r="J101" t="s">
        <v>50</v>
      </c>
      <c r="K101">
        <v>980</v>
      </c>
      <c r="L101">
        <v>3</v>
      </c>
      <c r="M101" s="1">
        <v>0.1</v>
      </c>
      <c r="N101">
        <v>118</v>
      </c>
      <c r="O101" t="s">
        <v>24</v>
      </c>
    </row>
    <row r="102" spans="1:15" x14ac:dyDescent="0.35">
      <c r="A102" t="s">
        <v>369</v>
      </c>
      <c r="B102" s="2">
        <v>45762</v>
      </c>
      <c r="C102" t="s">
        <v>370</v>
      </c>
      <c r="D102" t="s">
        <v>17</v>
      </c>
      <c r="E102" t="s">
        <v>18</v>
      </c>
      <c r="F102" t="s">
        <v>131</v>
      </c>
      <c r="G102" t="s">
        <v>20</v>
      </c>
      <c r="H102" t="s">
        <v>62</v>
      </c>
      <c r="I102" t="s">
        <v>132</v>
      </c>
      <c r="J102" t="s">
        <v>23</v>
      </c>
      <c r="K102">
        <v>1550</v>
      </c>
      <c r="L102">
        <v>2</v>
      </c>
      <c r="M102" s="1">
        <v>0.05</v>
      </c>
      <c r="N102">
        <v>233</v>
      </c>
      <c r="O102" t="s">
        <v>34</v>
      </c>
    </row>
    <row r="103" spans="1:15" x14ac:dyDescent="0.35">
      <c r="A103" t="s">
        <v>371</v>
      </c>
      <c r="B103" s="2">
        <v>45763</v>
      </c>
      <c r="C103" t="s">
        <v>372</v>
      </c>
      <c r="D103" t="s">
        <v>27</v>
      </c>
      <c r="E103" t="s">
        <v>28</v>
      </c>
      <c r="F103" t="s">
        <v>373</v>
      </c>
      <c r="G103" t="s">
        <v>20</v>
      </c>
      <c r="H103" t="s">
        <v>94</v>
      </c>
      <c r="I103" t="s">
        <v>95</v>
      </c>
      <c r="J103" t="s">
        <v>23</v>
      </c>
      <c r="K103">
        <v>450</v>
      </c>
      <c r="L103">
        <v>8</v>
      </c>
      <c r="M103" s="1">
        <v>0.1</v>
      </c>
      <c r="N103">
        <v>54</v>
      </c>
      <c r="O103" t="s">
        <v>42</v>
      </c>
    </row>
    <row r="104" spans="1:15" x14ac:dyDescent="0.35">
      <c r="A104" t="s">
        <v>374</v>
      </c>
      <c r="B104" s="2">
        <v>45764</v>
      </c>
      <c r="C104" t="s">
        <v>375</v>
      </c>
      <c r="D104" t="s">
        <v>37</v>
      </c>
      <c r="E104" t="s">
        <v>38</v>
      </c>
      <c r="F104" t="s">
        <v>376</v>
      </c>
      <c r="G104" t="s">
        <v>30</v>
      </c>
      <c r="H104" t="s">
        <v>40</v>
      </c>
      <c r="I104" t="s">
        <v>139</v>
      </c>
      <c r="J104" t="s">
        <v>33</v>
      </c>
      <c r="K104">
        <v>520</v>
      </c>
      <c r="L104">
        <v>7</v>
      </c>
      <c r="M104" s="1">
        <v>0.05</v>
      </c>
      <c r="N104">
        <v>78</v>
      </c>
      <c r="O104" t="s">
        <v>24</v>
      </c>
    </row>
    <row r="105" spans="1:15" x14ac:dyDescent="0.35">
      <c r="A105" t="s">
        <v>377</v>
      </c>
      <c r="B105" s="2">
        <v>45765</v>
      </c>
      <c r="C105" t="s">
        <v>378</v>
      </c>
      <c r="D105" t="s">
        <v>45</v>
      </c>
      <c r="E105" t="s">
        <v>46</v>
      </c>
      <c r="F105" t="s">
        <v>379</v>
      </c>
      <c r="G105" t="s">
        <v>55</v>
      </c>
      <c r="H105" t="s">
        <v>56</v>
      </c>
      <c r="I105" t="s">
        <v>57</v>
      </c>
      <c r="J105" t="s">
        <v>23</v>
      </c>
      <c r="K105">
        <v>570</v>
      </c>
      <c r="L105">
        <v>5</v>
      </c>
      <c r="M105" s="1">
        <v>0.1</v>
      </c>
      <c r="N105">
        <v>68</v>
      </c>
      <c r="O105" t="s">
        <v>24</v>
      </c>
    </row>
    <row r="106" spans="1:15" x14ac:dyDescent="0.35">
      <c r="A106" t="s">
        <v>380</v>
      </c>
      <c r="B106" s="2">
        <v>45766</v>
      </c>
      <c r="C106" t="s">
        <v>381</v>
      </c>
      <c r="D106" t="s">
        <v>17</v>
      </c>
      <c r="E106" t="s">
        <v>53</v>
      </c>
      <c r="F106" t="s">
        <v>382</v>
      </c>
      <c r="G106" t="s">
        <v>30</v>
      </c>
      <c r="H106" t="s">
        <v>31</v>
      </c>
      <c r="I106" t="s">
        <v>108</v>
      </c>
      <c r="J106" t="s">
        <v>23</v>
      </c>
      <c r="K106">
        <v>740</v>
      </c>
      <c r="L106">
        <v>4</v>
      </c>
      <c r="M106" s="1">
        <v>0.05</v>
      </c>
      <c r="N106">
        <v>111</v>
      </c>
      <c r="O106" t="s">
        <v>34</v>
      </c>
    </row>
    <row r="107" spans="1:15" x14ac:dyDescent="0.35">
      <c r="A107" t="s">
        <v>383</v>
      </c>
      <c r="B107" s="2">
        <v>45767</v>
      </c>
      <c r="C107" t="s">
        <v>384</v>
      </c>
      <c r="D107" t="s">
        <v>27</v>
      </c>
      <c r="E107" t="s">
        <v>60</v>
      </c>
      <c r="F107" t="s">
        <v>385</v>
      </c>
      <c r="G107" t="s">
        <v>20</v>
      </c>
      <c r="H107" t="s">
        <v>48</v>
      </c>
      <c r="I107" t="s">
        <v>49</v>
      </c>
      <c r="J107" t="s">
        <v>50</v>
      </c>
      <c r="K107">
        <v>530</v>
      </c>
      <c r="L107">
        <v>5</v>
      </c>
      <c r="M107" s="1">
        <v>0.05</v>
      </c>
      <c r="N107">
        <v>80</v>
      </c>
      <c r="O107" t="s">
        <v>42</v>
      </c>
    </row>
    <row r="108" spans="1:15" x14ac:dyDescent="0.35">
      <c r="A108" t="s">
        <v>386</v>
      </c>
      <c r="B108" s="2">
        <v>45768</v>
      </c>
      <c r="C108" t="s">
        <v>387</v>
      </c>
      <c r="D108" t="s">
        <v>66</v>
      </c>
      <c r="E108" t="s">
        <v>67</v>
      </c>
      <c r="F108" t="s">
        <v>388</v>
      </c>
      <c r="G108" t="s">
        <v>20</v>
      </c>
      <c r="H108" t="s">
        <v>21</v>
      </c>
      <c r="I108" t="s">
        <v>22</v>
      </c>
      <c r="J108" t="s">
        <v>23</v>
      </c>
      <c r="K108">
        <v>580</v>
      </c>
      <c r="L108">
        <v>8</v>
      </c>
      <c r="M108" s="1">
        <v>0.1</v>
      </c>
      <c r="N108">
        <v>70</v>
      </c>
      <c r="O108" t="s">
        <v>24</v>
      </c>
    </row>
    <row r="109" spans="1:15" x14ac:dyDescent="0.35">
      <c r="A109" t="s">
        <v>389</v>
      </c>
      <c r="B109" s="2">
        <v>45769</v>
      </c>
      <c r="C109" t="s">
        <v>390</v>
      </c>
      <c r="D109" t="s">
        <v>17</v>
      </c>
      <c r="E109" t="s">
        <v>18</v>
      </c>
      <c r="F109" t="s">
        <v>391</v>
      </c>
      <c r="G109" t="s">
        <v>30</v>
      </c>
      <c r="H109" t="s">
        <v>40</v>
      </c>
      <c r="I109" t="s">
        <v>41</v>
      </c>
      <c r="J109" t="s">
        <v>33</v>
      </c>
      <c r="K109">
        <v>460</v>
      </c>
      <c r="L109">
        <v>5</v>
      </c>
      <c r="M109" s="1">
        <v>0.05</v>
      </c>
      <c r="N109">
        <v>69</v>
      </c>
      <c r="O109" t="s">
        <v>34</v>
      </c>
    </row>
    <row r="110" spans="1:15" x14ac:dyDescent="0.35">
      <c r="A110" t="s">
        <v>392</v>
      </c>
      <c r="B110" s="2">
        <v>45770</v>
      </c>
      <c r="C110" t="s">
        <v>393</v>
      </c>
      <c r="D110" t="s">
        <v>37</v>
      </c>
      <c r="E110" t="s">
        <v>77</v>
      </c>
      <c r="F110" t="s">
        <v>394</v>
      </c>
      <c r="G110" t="s">
        <v>55</v>
      </c>
      <c r="H110" t="s">
        <v>56</v>
      </c>
      <c r="I110" t="s">
        <v>79</v>
      </c>
      <c r="J110" t="s">
        <v>23</v>
      </c>
      <c r="K110">
        <v>390</v>
      </c>
      <c r="L110">
        <v>8</v>
      </c>
      <c r="M110" s="1">
        <v>0.1</v>
      </c>
      <c r="N110">
        <v>47</v>
      </c>
      <c r="O110" t="s">
        <v>42</v>
      </c>
    </row>
    <row r="111" spans="1:15" x14ac:dyDescent="0.35">
      <c r="A111" t="s">
        <v>395</v>
      </c>
      <c r="B111" s="2">
        <v>45771</v>
      </c>
      <c r="C111" t="s">
        <v>396</v>
      </c>
      <c r="D111" t="s">
        <v>45</v>
      </c>
      <c r="E111" t="s">
        <v>82</v>
      </c>
      <c r="F111" t="s">
        <v>397</v>
      </c>
      <c r="G111" t="s">
        <v>30</v>
      </c>
      <c r="H111" t="s">
        <v>31</v>
      </c>
      <c r="I111" t="s">
        <v>128</v>
      </c>
      <c r="J111" t="s">
        <v>23</v>
      </c>
      <c r="K111">
        <v>620</v>
      </c>
      <c r="L111">
        <v>5</v>
      </c>
      <c r="M111" s="1">
        <v>0.05</v>
      </c>
      <c r="N111">
        <v>93</v>
      </c>
      <c r="O111" t="s">
        <v>24</v>
      </c>
    </row>
    <row r="112" spans="1:15" x14ac:dyDescent="0.35">
      <c r="A112" t="s">
        <v>398</v>
      </c>
      <c r="B112" s="2">
        <v>45772</v>
      </c>
      <c r="C112" t="s">
        <v>399</v>
      </c>
      <c r="D112" t="s">
        <v>27</v>
      </c>
      <c r="E112" t="s">
        <v>86</v>
      </c>
      <c r="F112" t="s">
        <v>400</v>
      </c>
      <c r="G112" t="s">
        <v>20</v>
      </c>
      <c r="H112" t="s">
        <v>62</v>
      </c>
      <c r="I112" t="s">
        <v>63</v>
      </c>
      <c r="J112" t="s">
        <v>33</v>
      </c>
      <c r="K112">
        <v>690</v>
      </c>
      <c r="L112">
        <v>4</v>
      </c>
      <c r="M112" s="1">
        <v>0.1</v>
      </c>
      <c r="N112">
        <v>83</v>
      </c>
      <c r="O112" t="s">
        <v>34</v>
      </c>
    </row>
    <row r="113" spans="1:15" x14ac:dyDescent="0.35">
      <c r="A113" t="s">
        <v>401</v>
      </c>
      <c r="B113" s="2">
        <v>45773</v>
      </c>
      <c r="C113" t="s">
        <v>402</v>
      </c>
      <c r="D113" t="s">
        <v>17</v>
      </c>
      <c r="E113" t="s">
        <v>18</v>
      </c>
      <c r="F113" t="s">
        <v>403</v>
      </c>
      <c r="G113" t="s">
        <v>30</v>
      </c>
      <c r="H113" t="s">
        <v>69</v>
      </c>
      <c r="I113" t="s">
        <v>70</v>
      </c>
      <c r="J113" t="s">
        <v>23</v>
      </c>
      <c r="K113">
        <v>440</v>
      </c>
      <c r="L113">
        <v>5</v>
      </c>
      <c r="M113" s="1">
        <v>0.05</v>
      </c>
      <c r="N113">
        <v>66</v>
      </c>
      <c r="O113" t="s">
        <v>24</v>
      </c>
    </row>
    <row r="114" spans="1:15" x14ac:dyDescent="0.35">
      <c r="A114" t="s">
        <v>404</v>
      </c>
      <c r="B114" s="2">
        <v>45774</v>
      </c>
      <c r="C114" t="s">
        <v>405</v>
      </c>
      <c r="D114" t="s">
        <v>66</v>
      </c>
      <c r="E114" t="s">
        <v>98</v>
      </c>
      <c r="F114" t="s">
        <v>406</v>
      </c>
      <c r="G114" t="s">
        <v>55</v>
      </c>
      <c r="H114" t="s">
        <v>56</v>
      </c>
      <c r="I114" t="s">
        <v>57</v>
      </c>
      <c r="J114" t="s">
        <v>23</v>
      </c>
      <c r="K114">
        <v>780</v>
      </c>
      <c r="L114">
        <v>3</v>
      </c>
      <c r="M114" s="1">
        <v>0.1</v>
      </c>
      <c r="N114">
        <v>94</v>
      </c>
      <c r="O114" t="s">
        <v>34</v>
      </c>
    </row>
    <row r="115" spans="1:15" x14ac:dyDescent="0.35">
      <c r="A115" t="s">
        <v>407</v>
      </c>
      <c r="B115" s="2">
        <v>45775</v>
      </c>
      <c r="C115" t="s">
        <v>408</v>
      </c>
      <c r="D115" t="s">
        <v>37</v>
      </c>
      <c r="E115" t="s">
        <v>102</v>
      </c>
      <c r="F115" t="s">
        <v>409</v>
      </c>
      <c r="G115" t="s">
        <v>20</v>
      </c>
      <c r="H115" t="s">
        <v>48</v>
      </c>
      <c r="I115" t="s">
        <v>116</v>
      </c>
      <c r="J115" t="s">
        <v>33</v>
      </c>
      <c r="K115">
        <v>510</v>
      </c>
      <c r="L115">
        <v>7</v>
      </c>
      <c r="M115" s="1">
        <v>0.05</v>
      </c>
      <c r="N115">
        <v>77</v>
      </c>
      <c r="O115" t="s">
        <v>42</v>
      </c>
    </row>
    <row r="116" spans="1:15" x14ac:dyDescent="0.35">
      <c r="A116" t="s">
        <v>410</v>
      </c>
      <c r="B116" s="2">
        <v>45776</v>
      </c>
      <c r="C116" t="s">
        <v>411</v>
      </c>
      <c r="D116" t="s">
        <v>45</v>
      </c>
      <c r="E116" t="s">
        <v>46</v>
      </c>
      <c r="F116" t="s">
        <v>412</v>
      </c>
      <c r="G116" t="s">
        <v>30</v>
      </c>
      <c r="H116" t="s">
        <v>40</v>
      </c>
      <c r="I116" t="s">
        <v>74</v>
      </c>
      <c r="J116" t="s">
        <v>23</v>
      </c>
      <c r="K116">
        <v>470</v>
      </c>
      <c r="L116">
        <v>6</v>
      </c>
      <c r="M116" s="1">
        <v>0.1</v>
      </c>
      <c r="N116">
        <v>56</v>
      </c>
      <c r="O116" t="s">
        <v>24</v>
      </c>
    </row>
    <row r="117" spans="1:15" x14ac:dyDescent="0.35">
      <c r="A117" t="s">
        <v>413</v>
      </c>
      <c r="B117" s="2">
        <v>45777</v>
      </c>
      <c r="C117" t="s">
        <v>414</v>
      </c>
      <c r="D117" t="s">
        <v>27</v>
      </c>
      <c r="E117" t="s">
        <v>111</v>
      </c>
      <c r="F117" t="s">
        <v>415</v>
      </c>
      <c r="G117" t="s">
        <v>88</v>
      </c>
      <c r="H117" t="s">
        <v>89</v>
      </c>
      <c r="I117" t="s">
        <v>90</v>
      </c>
      <c r="J117" t="s">
        <v>23</v>
      </c>
      <c r="K117">
        <v>840</v>
      </c>
      <c r="L117">
        <v>3</v>
      </c>
      <c r="M117" s="1">
        <v>0.05</v>
      </c>
      <c r="N117">
        <v>126</v>
      </c>
      <c r="O117" t="s">
        <v>34</v>
      </c>
    </row>
    <row r="118" spans="1:15" x14ac:dyDescent="0.35">
      <c r="A118" t="s">
        <v>416</v>
      </c>
      <c r="B118" s="2">
        <v>45778</v>
      </c>
      <c r="C118" t="s">
        <v>417</v>
      </c>
      <c r="D118" t="s">
        <v>17</v>
      </c>
      <c r="E118" t="s">
        <v>53</v>
      </c>
      <c r="F118" t="s">
        <v>418</v>
      </c>
      <c r="G118" t="s">
        <v>30</v>
      </c>
      <c r="H118" t="s">
        <v>40</v>
      </c>
      <c r="I118" t="s">
        <v>41</v>
      </c>
      <c r="J118" t="s">
        <v>33</v>
      </c>
      <c r="K118">
        <v>680</v>
      </c>
      <c r="L118">
        <v>4</v>
      </c>
      <c r="M118" s="1">
        <v>0.05</v>
      </c>
      <c r="N118">
        <v>102</v>
      </c>
      <c r="O118" t="s">
        <v>24</v>
      </c>
    </row>
    <row r="119" spans="1:15" x14ac:dyDescent="0.35">
      <c r="A119" t="s">
        <v>419</v>
      </c>
      <c r="B119" s="2">
        <v>45779</v>
      </c>
      <c r="C119" t="s">
        <v>420</v>
      </c>
      <c r="D119" t="s">
        <v>66</v>
      </c>
      <c r="E119" t="s">
        <v>119</v>
      </c>
      <c r="F119" t="s">
        <v>421</v>
      </c>
      <c r="G119" t="s">
        <v>55</v>
      </c>
      <c r="H119" t="s">
        <v>56</v>
      </c>
      <c r="I119" t="s">
        <v>79</v>
      </c>
      <c r="J119" t="s">
        <v>23</v>
      </c>
      <c r="K119">
        <v>760</v>
      </c>
      <c r="L119">
        <v>4</v>
      </c>
      <c r="M119" s="1">
        <v>0.1</v>
      </c>
      <c r="N119">
        <v>91</v>
      </c>
      <c r="O119" t="s">
        <v>42</v>
      </c>
    </row>
    <row r="120" spans="1:15" x14ac:dyDescent="0.35">
      <c r="A120" t="s">
        <v>422</v>
      </c>
      <c r="B120" s="2">
        <v>45780</v>
      </c>
      <c r="C120" t="s">
        <v>423</v>
      </c>
      <c r="D120" t="s">
        <v>37</v>
      </c>
      <c r="E120" t="s">
        <v>123</v>
      </c>
      <c r="F120" t="s">
        <v>424</v>
      </c>
      <c r="G120" t="s">
        <v>30</v>
      </c>
      <c r="H120" t="s">
        <v>31</v>
      </c>
      <c r="I120" t="s">
        <v>32</v>
      </c>
      <c r="J120" t="s">
        <v>23</v>
      </c>
      <c r="K120">
        <v>720</v>
      </c>
      <c r="L120">
        <v>5</v>
      </c>
      <c r="M120" s="1">
        <v>0.05</v>
      </c>
      <c r="N120">
        <v>108</v>
      </c>
      <c r="O120" t="s">
        <v>34</v>
      </c>
    </row>
    <row r="121" spans="1:15" x14ac:dyDescent="0.35">
      <c r="A121" t="s">
        <v>425</v>
      </c>
      <c r="B121" s="2">
        <v>45781</v>
      </c>
      <c r="C121" t="s">
        <v>426</v>
      </c>
      <c r="D121" t="s">
        <v>45</v>
      </c>
      <c r="E121" t="s">
        <v>82</v>
      </c>
      <c r="F121" t="s">
        <v>427</v>
      </c>
      <c r="G121" t="s">
        <v>20</v>
      </c>
      <c r="H121" t="s">
        <v>21</v>
      </c>
      <c r="I121" t="s">
        <v>22</v>
      </c>
      <c r="J121" t="s">
        <v>50</v>
      </c>
      <c r="K121">
        <v>850</v>
      </c>
      <c r="L121">
        <v>3</v>
      </c>
      <c r="M121" s="1">
        <v>0.1</v>
      </c>
      <c r="N121">
        <v>102</v>
      </c>
      <c r="O121" t="s">
        <v>24</v>
      </c>
    </row>
    <row r="122" spans="1:15" x14ac:dyDescent="0.35">
      <c r="A122" t="s">
        <v>428</v>
      </c>
      <c r="B122" s="2">
        <v>45782</v>
      </c>
      <c r="C122" t="s">
        <v>429</v>
      </c>
      <c r="D122" t="s">
        <v>17</v>
      </c>
      <c r="E122" t="s">
        <v>18</v>
      </c>
      <c r="F122" t="s">
        <v>430</v>
      </c>
      <c r="G122" t="s">
        <v>20</v>
      </c>
      <c r="H122" t="s">
        <v>62</v>
      </c>
      <c r="I122" t="s">
        <v>132</v>
      </c>
      <c r="J122" t="s">
        <v>23</v>
      </c>
      <c r="K122">
        <v>1190</v>
      </c>
      <c r="L122">
        <v>2</v>
      </c>
      <c r="M122" s="1">
        <v>0.05</v>
      </c>
      <c r="N122">
        <v>179</v>
      </c>
      <c r="O122" t="s">
        <v>34</v>
      </c>
    </row>
    <row r="123" spans="1:15" x14ac:dyDescent="0.35">
      <c r="A123" t="s">
        <v>431</v>
      </c>
      <c r="B123" s="2">
        <v>45783</v>
      </c>
      <c r="C123" t="s">
        <v>432</v>
      </c>
      <c r="D123" t="s">
        <v>27</v>
      </c>
      <c r="E123" t="s">
        <v>28</v>
      </c>
      <c r="F123" t="s">
        <v>433</v>
      </c>
      <c r="G123" t="s">
        <v>20</v>
      </c>
      <c r="H123" t="s">
        <v>94</v>
      </c>
      <c r="I123" t="s">
        <v>104</v>
      </c>
      <c r="J123" t="s">
        <v>23</v>
      </c>
      <c r="K123">
        <v>480</v>
      </c>
      <c r="L123">
        <v>8</v>
      </c>
      <c r="M123" s="1">
        <v>0.1</v>
      </c>
      <c r="N123">
        <v>58</v>
      </c>
      <c r="O123" t="s">
        <v>42</v>
      </c>
    </row>
    <row r="124" spans="1:15" x14ac:dyDescent="0.35">
      <c r="A124" t="s">
        <v>434</v>
      </c>
      <c r="B124" s="2">
        <v>45784</v>
      </c>
      <c r="C124" t="s">
        <v>435</v>
      </c>
      <c r="D124" t="s">
        <v>37</v>
      </c>
      <c r="E124" t="s">
        <v>38</v>
      </c>
      <c r="F124" t="s">
        <v>436</v>
      </c>
      <c r="G124" t="s">
        <v>30</v>
      </c>
      <c r="H124" t="s">
        <v>40</v>
      </c>
      <c r="I124" t="s">
        <v>139</v>
      </c>
      <c r="J124" t="s">
        <v>33</v>
      </c>
      <c r="K124">
        <v>530</v>
      </c>
      <c r="L124">
        <v>7</v>
      </c>
      <c r="M124" s="1">
        <v>0.05</v>
      </c>
      <c r="N124">
        <v>80</v>
      </c>
      <c r="O124" t="s">
        <v>24</v>
      </c>
    </row>
    <row r="125" spans="1:15" x14ac:dyDescent="0.35">
      <c r="A125" t="s">
        <v>437</v>
      </c>
      <c r="B125" s="2">
        <v>45785</v>
      </c>
      <c r="C125" t="s">
        <v>81</v>
      </c>
      <c r="D125" t="s">
        <v>45</v>
      </c>
      <c r="E125" t="s">
        <v>46</v>
      </c>
      <c r="F125" t="s">
        <v>438</v>
      </c>
      <c r="G125" t="s">
        <v>55</v>
      </c>
      <c r="H125" t="s">
        <v>56</v>
      </c>
      <c r="I125" t="s">
        <v>57</v>
      </c>
      <c r="J125" t="s">
        <v>23</v>
      </c>
      <c r="K125">
        <v>650</v>
      </c>
      <c r="L125">
        <v>5</v>
      </c>
      <c r="M125" s="1">
        <v>0.1</v>
      </c>
      <c r="N125">
        <v>78</v>
      </c>
      <c r="O125" t="s">
        <v>24</v>
      </c>
    </row>
    <row r="126" spans="1:15" x14ac:dyDescent="0.35">
      <c r="A126" t="s">
        <v>439</v>
      </c>
      <c r="B126" s="2">
        <v>45786</v>
      </c>
      <c r="C126" t="s">
        <v>440</v>
      </c>
      <c r="D126" t="s">
        <v>17</v>
      </c>
      <c r="E126" t="s">
        <v>53</v>
      </c>
      <c r="F126" t="s">
        <v>441</v>
      </c>
      <c r="G126" t="s">
        <v>30</v>
      </c>
      <c r="H126" t="s">
        <v>31</v>
      </c>
      <c r="I126" t="s">
        <v>108</v>
      </c>
      <c r="J126" t="s">
        <v>23</v>
      </c>
      <c r="K126">
        <v>770</v>
      </c>
      <c r="L126">
        <v>4</v>
      </c>
      <c r="M126" s="1">
        <v>0.05</v>
      </c>
      <c r="N126">
        <v>116</v>
      </c>
      <c r="O126" t="s">
        <v>34</v>
      </c>
    </row>
    <row r="127" spans="1:15" x14ac:dyDescent="0.35">
      <c r="A127" t="s">
        <v>442</v>
      </c>
      <c r="B127" s="2">
        <v>45787</v>
      </c>
      <c r="C127" t="s">
        <v>443</v>
      </c>
      <c r="D127" t="s">
        <v>27</v>
      </c>
      <c r="E127" t="s">
        <v>60</v>
      </c>
      <c r="F127" t="s">
        <v>444</v>
      </c>
      <c r="G127" t="s">
        <v>20</v>
      </c>
      <c r="H127" t="s">
        <v>48</v>
      </c>
      <c r="I127" t="s">
        <v>49</v>
      </c>
      <c r="J127" t="s">
        <v>50</v>
      </c>
      <c r="K127">
        <v>560</v>
      </c>
      <c r="L127">
        <v>5</v>
      </c>
      <c r="M127" s="1">
        <v>0.05</v>
      </c>
      <c r="N127">
        <v>84</v>
      </c>
      <c r="O127" t="s">
        <v>42</v>
      </c>
    </row>
    <row r="128" spans="1:15" x14ac:dyDescent="0.35">
      <c r="A128" t="s">
        <v>445</v>
      </c>
      <c r="B128" s="2">
        <v>45788</v>
      </c>
      <c r="C128" t="s">
        <v>446</v>
      </c>
      <c r="D128" t="s">
        <v>66</v>
      </c>
      <c r="E128" t="s">
        <v>67</v>
      </c>
      <c r="F128" t="s">
        <v>447</v>
      </c>
      <c r="G128" t="s">
        <v>20</v>
      </c>
      <c r="H128" t="s">
        <v>21</v>
      </c>
      <c r="I128" t="s">
        <v>22</v>
      </c>
      <c r="J128" t="s">
        <v>23</v>
      </c>
      <c r="K128">
        <v>490</v>
      </c>
      <c r="L128">
        <v>8</v>
      </c>
      <c r="M128" s="1">
        <v>0.1</v>
      </c>
      <c r="N128">
        <v>59</v>
      </c>
      <c r="O128" t="s">
        <v>24</v>
      </c>
    </row>
    <row r="129" spans="1:15" x14ac:dyDescent="0.35">
      <c r="A129" t="s">
        <v>448</v>
      </c>
      <c r="B129" s="2">
        <v>45789</v>
      </c>
      <c r="C129" t="s">
        <v>449</v>
      </c>
      <c r="D129" t="s">
        <v>17</v>
      </c>
      <c r="E129" t="s">
        <v>18</v>
      </c>
      <c r="F129" t="s">
        <v>450</v>
      </c>
      <c r="G129" t="s">
        <v>30</v>
      </c>
      <c r="H129" t="s">
        <v>40</v>
      </c>
      <c r="I129" t="s">
        <v>41</v>
      </c>
      <c r="J129" t="s">
        <v>33</v>
      </c>
      <c r="K129">
        <v>570</v>
      </c>
      <c r="L129">
        <v>5</v>
      </c>
      <c r="M129" s="1">
        <v>0.05</v>
      </c>
      <c r="N129">
        <v>86</v>
      </c>
      <c r="O129" t="s">
        <v>34</v>
      </c>
    </row>
    <row r="130" spans="1:15" x14ac:dyDescent="0.35">
      <c r="A130" t="s">
        <v>451</v>
      </c>
      <c r="B130" s="2">
        <v>45790</v>
      </c>
      <c r="C130" t="s">
        <v>452</v>
      </c>
      <c r="D130" t="s">
        <v>37</v>
      </c>
      <c r="E130" t="s">
        <v>77</v>
      </c>
      <c r="F130" t="s">
        <v>453</v>
      </c>
      <c r="G130" t="s">
        <v>55</v>
      </c>
      <c r="H130" t="s">
        <v>56</v>
      </c>
      <c r="I130" t="s">
        <v>79</v>
      </c>
      <c r="J130" t="s">
        <v>23</v>
      </c>
      <c r="K130">
        <v>360</v>
      </c>
      <c r="L130">
        <v>8</v>
      </c>
      <c r="M130" s="1">
        <v>0.1</v>
      </c>
      <c r="N130">
        <v>43</v>
      </c>
      <c r="O130" t="s">
        <v>42</v>
      </c>
    </row>
    <row r="131" spans="1:15" x14ac:dyDescent="0.35">
      <c r="A131" t="s">
        <v>454</v>
      </c>
      <c r="B131" s="2">
        <v>45791</v>
      </c>
      <c r="C131" t="s">
        <v>455</v>
      </c>
      <c r="D131" t="s">
        <v>45</v>
      </c>
      <c r="E131" t="s">
        <v>82</v>
      </c>
      <c r="F131" t="s">
        <v>456</v>
      </c>
      <c r="G131" t="s">
        <v>30</v>
      </c>
      <c r="H131" t="s">
        <v>31</v>
      </c>
      <c r="I131" t="s">
        <v>128</v>
      </c>
      <c r="J131" t="s">
        <v>23</v>
      </c>
      <c r="K131">
        <v>710</v>
      </c>
      <c r="L131">
        <v>4</v>
      </c>
      <c r="M131" s="1">
        <v>0.05</v>
      </c>
      <c r="N131">
        <v>107</v>
      </c>
      <c r="O131" t="s">
        <v>24</v>
      </c>
    </row>
    <row r="132" spans="1:15" x14ac:dyDescent="0.35">
      <c r="A132" t="s">
        <v>457</v>
      </c>
      <c r="B132" s="2">
        <v>45792</v>
      </c>
      <c r="C132" t="s">
        <v>458</v>
      </c>
      <c r="D132" t="s">
        <v>27</v>
      </c>
      <c r="E132" t="s">
        <v>86</v>
      </c>
      <c r="F132" t="s">
        <v>459</v>
      </c>
      <c r="G132" t="s">
        <v>20</v>
      </c>
      <c r="H132" t="s">
        <v>62</v>
      </c>
      <c r="I132" t="s">
        <v>63</v>
      </c>
      <c r="J132" t="s">
        <v>33</v>
      </c>
      <c r="K132">
        <v>750</v>
      </c>
      <c r="L132">
        <v>4</v>
      </c>
      <c r="M132" s="1">
        <v>0.1</v>
      </c>
      <c r="N132">
        <v>90</v>
      </c>
      <c r="O132" t="s">
        <v>34</v>
      </c>
    </row>
    <row r="133" spans="1:15" x14ac:dyDescent="0.35">
      <c r="A133" t="s">
        <v>460</v>
      </c>
      <c r="B133" s="2">
        <v>45793</v>
      </c>
      <c r="C133" t="s">
        <v>461</v>
      </c>
      <c r="D133" t="s">
        <v>17</v>
      </c>
      <c r="E133" t="s">
        <v>18</v>
      </c>
      <c r="F133" t="s">
        <v>462</v>
      </c>
      <c r="G133" t="s">
        <v>30</v>
      </c>
      <c r="H133" t="s">
        <v>69</v>
      </c>
      <c r="I133" t="s">
        <v>70</v>
      </c>
      <c r="J133" t="s">
        <v>23</v>
      </c>
      <c r="K133">
        <v>480</v>
      </c>
      <c r="L133">
        <v>5</v>
      </c>
      <c r="M133" s="1">
        <v>0.05</v>
      </c>
      <c r="N133">
        <v>72</v>
      </c>
      <c r="O133" t="s">
        <v>24</v>
      </c>
    </row>
    <row r="134" spans="1:15" x14ac:dyDescent="0.35">
      <c r="A134" t="s">
        <v>463</v>
      </c>
      <c r="B134" s="2">
        <v>45794</v>
      </c>
      <c r="C134" t="s">
        <v>464</v>
      </c>
      <c r="D134" t="s">
        <v>66</v>
      </c>
      <c r="E134" t="s">
        <v>98</v>
      </c>
      <c r="F134" t="s">
        <v>465</v>
      </c>
      <c r="G134" t="s">
        <v>55</v>
      </c>
      <c r="H134" t="s">
        <v>56</v>
      </c>
      <c r="I134" t="s">
        <v>57</v>
      </c>
      <c r="J134" t="s">
        <v>23</v>
      </c>
      <c r="K134">
        <v>690</v>
      </c>
      <c r="L134">
        <v>3</v>
      </c>
      <c r="M134" s="1">
        <v>0.1</v>
      </c>
      <c r="N134">
        <v>83</v>
      </c>
      <c r="O134" t="s">
        <v>34</v>
      </c>
    </row>
    <row r="135" spans="1:15" x14ac:dyDescent="0.35">
      <c r="A135" t="s">
        <v>466</v>
      </c>
      <c r="B135" s="2">
        <v>45795</v>
      </c>
      <c r="C135" t="s">
        <v>467</v>
      </c>
      <c r="D135" t="s">
        <v>37</v>
      </c>
      <c r="E135" t="s">
        <v>102</v>
      </c>
      <c r="F135" t="s">
        <v>468</v>
      </c>
      <c r="G135" t="s">
        <v>20</v>
      </c>
      <c r="H135" t="s">
        <v>48</v>
      </c>
      <c r="I135" t="s">
        <v>116</v>
      </c>
      <c r="J135" t="s">
        <v>33</v>
      </c>
      <c r="K135">
        <v>440</v>
      </c>
      <c r="L135">
        <v>7</v>
      </c>
      <c r="M135" s="1">
        <v>0.05</v>
      </c>
      <c r="N135">
        <v>66</v>
      </c>
      <c r="O135" t="s">
        <v>42</v>
      </c>
    </row>
    <row r="136" spans="1:15" x14ac:dyDescent="0.35">
      <c r="A136" t="s">
        <v>469</v>
      </c>
      <c r="B136" s="2">
        <v>45796</v>
      </c>
      <c r="C136" t="s">
        <v>470</v>
      </c>
      <c r="D136" t="s">
        <v>45</v>
      </c>
      <c r="E136" t="s">
        <v>46</v>
      </c>
      <c r="F136" t="s">
        <v>471</v>
      </c>
      <c r="G136" t="s">
        <v>30</v>
      </c>
      <c r="H136" t="s">
        <v>40</v>
      </c>
      <c r="I136" t="s">
        <v>74</v>
      </c>
      <c r="J136" t="s">
        <v>23</v>
      </c>
      <c r="K136">
        <v>510</v>
      </c>
      <c r="L136">
        <v>5</v>
      </c>
      <c r="M136" s="1">
        <v>0.1</v>
      </c>
      <c r="N136">
        <v>61</v>
      </c>
      <c r="O136" t="s">
        <v>24</v>
      </c>
    </row>
    <row r="137" spans="1:15" x14ac:dyDescent="0.35">
      <c r="A137" t="s">
        <v>472</v>
      </c>
      <c r="B137" s="2">
        <v>45797</v>
      </c>
      <c r="C137" t="s">
        <v>473</v>
      </c>
      <c r="D137" t="s">
        <v>27</v>
      </c>
      <c r="E137" t="s">
        <v>111</v>
      </c>
      <c r="F137" t="s">
        <v>474</v>
      </c>
      <c r="G137" t="s">
        <v>88</v>
      </c>
      <c r="H137" t="s">
        <v>89</v>
      </c>
      <c r="I137" t="s">
        <v>90</v>
      </c>
      <c r="J137" t="s">
        <v>23</v>
      </c>
      <c r="K137">
        <v>930</v>
      </c>
      <c r="L137">
        <v>3</v>
      </c>
      <c r="M137" s="1">
        <v>0.05</v>
      </c>
      <c r="N137">
        <v>140</v>
      </c>
      <c r="O137" t="s">
        <v>34</v>
      </c>
    </row>
    <row r="138" spans="1:15" x14ac:dyDescent="0.35">
      <c r="A138" t="s">
        <v>475</v>
      </c>
      <c r="B138" s="2">
        <v>45798</v>
      </c>
      <c r="C138" t="s">
        <v>476</v>
      </c>
      <c r="D138" t="s">
        <v>17</v>
      </c>
      <c r="E138" t="s">
        <v>53</v>
      </c>
      <c r="F138" t="s">
        <v>477</v>
      </c>
      <c r="G138" t="s">
        <v>30</v>
      </c>
      <c r="H138" t="s">
        <v>40</v>
      </c>
      <c r="I138" t="s">
        <v>41</v>
      </c>
      <c r="J138" t="s">
        <v>33</v>
      </c>
      <c r="K138">
        <v>620</v>
      </c>
      <c r="L138">
        <v>4</v>
      </c>
      <c r="M138" s="1">
        <v>0.05</v>
      </c>
      <c r="N138">
        <v>93</v>
      </c>
      <c r="O138" t="s">
        <v>24</v>
      </c>
    </row>
    <row r="139" spans="1:15" x14ac:dyDescent="0.35">
      <c r="A139" t="s">
        <v>478</v>
      </c>
      <c r="B139" s="2">
        <v>45799</v>
      </c>
      <c r="C139" t="s">
        <v>479</v>
      </c>
      <c r="D139" t="s">
        <v>66</v>
      </c>
      <c r="E139" t="s">
        <v>119</v>
      </c>
      <c r="F139" t="s">
        <v>480</v>
      </c>
      <c r="G139" t="s">
        <v>55</v>
      </c>
      <c r="H139" t="s">
        <v>56</v>
      </c>
      <c r="I139" t="s">
        <v>79</v>
      </c>
      <c r="J139" t="s">
        <v>23</v>
      </c>
      <c r="K139">
        <v>580</v>
      </c>
      <c r="L139">
        <v>4</v>
      </c>
      <c r="M139" s="1">
        <v>0.1</v>
      </c>
      <c r="N139">
        <v>70</v>
      </c>
      <c r="O139" t="s">
        <v>42</v>
      </c>
    </row>
    <row r="140" spans="1:15" x14ac:dyDescent="0.35">
      <c r="A140" t="s">
        <v>481</v>
      </c>
      <c r="B140" s="2">
        <v>45800</v>
      </c>
      <c r="C140" t="s">
        <v>276</v>
      </c>
      <c r="D140" t="s">
        <v>37</v>
      </c>
      <c r="E140" t="s">
        <v>123</v>
      </c>
      <c r="F140" t="s">
        <v>482</v>
      </c>
      <c r="G140" t="s">
        <v>30</v>
      </c>
      <c r="H140" t="s">
        <v>31</v>
      </c>
      <c r="I140" t="s">
        <v>32</v>
      </c>
      <c r="J140" t="s">
        <v>23</v>
      </c>
      <c r="K140">
        <v>760</v>
      </c>
      <c r="L140">
        <v>5</v>
      </c>
      <c r="M140" s="1">
        <v>0.05</v>
      </c>
      <c r="N140">
        <v>114</v>
      </c>
      <c r="O140" t="s">
        <v>34</v>
      </c>
    </row>
    <row r="141" spans="1:15" x14ac:dyDescent="0.35">
      <c r="A141" t="s">
        <v>483</v>
      </c>
      <c r="B141" s="2">
        <v>45801</v>
      </c>
      <c r="C141" t="s">
        <v>484</v>
      </c>
      <c r="D141" t="s">
        <v>45</v>
      </c>
      <c r="E141" t="s">
        <v>82</v>
      </c>
      <c r="F141" t="s">
        <v>485</v>
      </c>
      <c r="G141" t="s">
        <v>20</v>
      </c>
      <c r="H141" t="s">
        <v>21</v>
      </c>
      <c r="I141" t="s">
        <v>22</v>
      </c>
      <c r="J141" t="s">
        <v>50</v>
      </c>
      <c r="K141">
        <v>640</v>
      </c>
      <c r="L141">
        <v>3</v>
      </c>
      <c r="M141" s="1">
        <v>0.1</v>
      </c>
      <c r="N141">
        <v>77</v>
      </c>
      <c r="O141" t="s">
        <v>24</v>
      </c>
    </row>
    <row r="142" spans="1:15" x14ac:dyDescent="0.35">
      <c r="A142" t="s">
        <v>486</v>
      </c>
      <c r="B142" s="2">
        <v>45802</v>
      </c>
      <c r="C142" t="s">
        <v>487</v>
      </c>
      <c r="D142" t="s">
        <v>17</v>
      </c>
      <c r="E142" t="s">
        <v>18</v>
      </c>
      <c r="F142" t="s">
        <v>488</v>
      </c>
      <c r="G142" t="s">
        <v>20</v>
      </c>
      <c r="H142" t="s">
        <v>62</v>
      </c>
      <c r="I142" t="s">
        <v>132</v>
      </c>
      <c r="J142" t="s">
        <v>23</v>
      </c>
      <c r="K142">
        <v>1370</v>
      </c>
      <c r="L142">
        <v>2</v>
      </c>
      <c r="M142" s="1">
        <v>0.05</v>
      </c>
      <c r="N142">
        <v>206</v>
      </c>
      <c r="O142" t="s">
        <v>34</v>
      </c>
    </row>
    <row r="143" spans="1:15" x14ac:dyDescent="0.35">
      <c r="A143" t="s">
        <v>489</v>
      </c>
      <c r="B143" s="2">
        <v>45803</v>
      </c>
      <c r="C143" t="s">
        <v>490</v>
      </c>
      <c r="D143" t="s">
        <v>27</v>
      </c>
      <c r="E143" t="s">
        <v>28</v>
      </c>
      <c r="F143" t="s">
        <v>491</v>
      </c>
      <c r="G143" t="s">
        <v>20</v>
      </c>
      <c r="H143" t="s">
        <v>94</v>
      </c>
      <c r="I143" t="s">
        <v>95</v>
      </c>
      <c r="J143" t="s">
        <v>23</v>
      </c>
      <c r="K143">
        <v>460</v>
      </c>
      <c r="L143">
        <v>8</v>
      </c>
      <c r="M143" s="1">
        <v>0.1</v>
      </c>
      <c r="N143">
        <v>55</v>
      </c>
      <c r="O143" t="s">
        <v>42</v>
      </c>
    </row>
    <row r="144" spans="1:15" x14ac:dyDescent="0.35">
      <c r="A144" t="s">
        <v>492</v>
      </c>
      <c r="B144" s="2">
        <v>45804</v>
      </c>
      <c r="C144" t="s">
        <v>493</v>
      </c>
      <c r="D144" t="s">
        <v>37</v>
      </c>
      <c r="E144" t="s">
        <v>38</v>
      </c>
      <c r="F144" t="s">
        <v>494</v>
      </c>
      <c r="G144" t="s">
        <v>30</v>
      </c>
      <c r="H144" t="s">
        <v>40</v>
      </c>
      <c r="I144" t="s">
        <v>139</v>
      </c>
      <c r="J144" t="s">
        <v>33</v>
      </c>
      <c r="K144">
        <v>490</v>
      </c>
      <c r="L144">
        <v>7</v>
      </c>
      <c r="M144" s="1">
        <v>0.05</v>
      </c>
      <c r="N144">
        <v>74</v>
      </c>
      <c r="O144" t="s">
        <v>24</v>
      </c>
    </row>
    <row r="145" spans="1:15" x14ac:dyDescent="0.35">
      <c r="A145" t="s">
        <v>495</v>
      </c>
      <c r="B145" s="2">
        <v>45805</v>
      </c>
      <c r="C145" t="s">
        <v>496</v>
      </c>
      <c r="D145" t="s">
        <v>45</v>
      </c>
      <c r="E145" t="s">
        <v>46</v>
      </c>
      <c r="F145" t="s">
        <v>497</v>
      </c>
      <c r="G145" t="s">
        <v>55</v>
      </c>
      <c r="H145" t="s">
        <v>56</v>
      </c>
      <c r="I145" t="s">
        <v>57</v>
      </c>
      <c r="J145" t="s">
        <v>23</v>
      </c>
      <c r="K145">
        <v>430</v>
      </c>
      <c r="L145">
        <v>5</v>
      </c>
      <c r="M145" s="1">
        <v>0.1</v>
      </c>
      <c r="N145">
        <v>52</v>
      </c>
      <c r="O145" t="s">
        <v>24</v>
      </c>
    </row>
    <row r="146" spans="1:15" x14ac:dyDescent="0.35">
      <c r="A146" t="s">
        <v>498</v>
      </c>
      <c r="B146" s="2">
        <v>45806</v>
      </c>
      <c r="C146" t="s">
        <v>204</v>
      </c>
      <c r="D146" t="s">
        <v>17</v>
      </c>
      <c r="E146" t="s">
        <v>53</v>
      </c>
      <c r="F146" t="s">
        <v>499</v>
      </c>
      <c r="G146" t="s">
        <v>30</v>
      </c>
      <c r="H146" t="s">
        <v>31</v>
      </c>
      <c r="I146" t="s">
        <v>108</v>
      </c>
      <c r="J146" t="s">
        <v>23</v>
      </c>
      <c r="K146">
        <v>710</v>
      </c>
      <c r="L146">
        <v>4</v>
      </c>
      <c r="M146" s="1">
        <v>0.05</v>
      </c>
      <c r="N146">
        <v>107</v>
      </c>
      <c r="O146" t="s">
        <v>34</v>
      </c>
    </row>
    <row r="147" spans="1:15" x14ac:dyDescent="0.35">
      <c r="A147" t="s">
        <v>500</v>
      </c>
      <c r="B147" s="2">
        <v>45807</v>
      </c>
      <c r="C147" t="s">
        <v>501</v>
      </c>
      <c r="D147" t="s">
        <v>27</v>
      </c>
      <c r="E147" t="s">
        <v>60</v>
      </c>
      <c r="F147" t="s">
        <v>502</v>
      </c>
      <c r="G147" t="s">
        <v>20</v>
      </c>
      <c r="H147" t="s">
        <v>48</v>
      </c>
      <c r="I147" t="s">
        <v>49</v>
      </c>
      <c r="J147" t="s">
        <v>50</v>
      </c>
      <c r="K147">
        <v>680</v>
      </c>
      <c r="L147">
        <v>5</v>
      </c>
      <c r="M147" s="1">
        <v>0.05</v>
      </c>
      <c r="N147">
        <v>102</v>
      </c>
      <c r="O147" t="s">
        <v>42</v>
      </c>
    </row>
    <row r="148" spans="1:15" x14ac:dyDescent="0.35">
      <c r="A148" t="s">
        <v>503</v>
      </c>
      <c r="B148" s="2">
        <v>45808</v>
      </c>
      <c r="C148" t="s">
        <v>504</v>
      </c>
      <c r="D148" t="s">
        <v>66</v>
      </c>
      <c r="E148" t="s">
        <v>67</v>
      </c>
      <c r="F148" t="s">
        <v>505</v>
      </c>
      <c r="G148" t="s">
        <v>20</v>
      </c>
      <c r="H148" t="s">
        <v>21</v>
      </c>
      <c r="I148" t="s">
        <v>22</v>
      </c>
      <c r="J148" t="s">
        <v>23</v>
      </c>
      <c r="K148">
        <v>520</v>
      </c>
      <c r="L148">
        <v>8</v>
      </c>
      <c r="M148" s="1">
        <v>0.1</v>
      </c>
      <c r="N148">
        <v>62</v>
      </c>
      <c r="O148" t="s">
        <v>24</v>
      </c>
    </row>
    <row r="149" spans="1:15" x14ac:dyDescent="0.35">
      <c r="A149" t="s">
        <v>506</v>
      </c>
      <c r="B149" s="2">
        <v>45809</v>
      </c>
      <c r="C149" t="s">
        <v>507</v>
      </c>
      <c r="D149" t="s">
        <v>17</v>
      </c>
      <c r="E149" t="s">
        <v>18</v>
      </c>
      <c r="F149" t="s">
        <v>508</v>
      </c>
      <c r="G149" t="s">
        <v>30</v>
      </c>
      <c r="H149" t="s">
        <v>40</v>
      </c>
      <c r="I149" t="s">
        <v>41</v>
      </c>
      <c r="J149" t="s">
        <v>33</v>
      </c>
      <c r="K149">
        <v>620</v>
      </c>
      <c r="L149">
        <v>5</v>
      </c>
      <c r="M149" s="1">
        <v>0.05</v>
      </c>
      <c r="N149">
        <v>93</v>
      </c>
      <c r="O149" t="s">
        <v>34</v>
      </c>
    </row>
    <row r="150" spans="1:15" x14ac:dyDescent="0.35">
      <c r="A150" t="s">
        <v>509</v>
      </c>
      <c r="B150" s="2">
        <v>45810</v>
      </c>
      <c r="C150" t="s">
        <v>510</v>
      </c>
      <c r="D150" t="s">
        <v>37</v>
      </c>
      <c r="E150" t="s">
        <v>77</v>
      </c>
      <c r="F150" t="s">
        <v>511</v>
      </c>
      <c r="G150" t="s">
        <v>55</v>
      </c>
      <c r="H150" t="s">
        <v>56</v>
      </c>
      <c r="I150" t="s">
        <v>79</v>
      </c>
      <c r="J150" t="s">
        <v>23</v>
      </c>
      <c r="K150">
        <v>470</v>
      </c>
      <c r="L150">
        <v>8</v>
      </c>
      <c r="M150" s="1">
        <v>0.1</v>
      </c>
      <c r="N150">
        <v>56</v>
      </c>
      <c r="O150" t="s">
        <v>42</v>
      </c>
    </row>
    <row r="151" spans="1:15" x14ac:dyDescent="0.35">
      <c r="A151" t="s">
        <v>512</v>
      </c>
      <c r="B151" s="2">
        <v>45811</v>
      </c>
      <c r="C151" t="s">
        <v>513</v>
      </c>
      <c r="D151" t="s">
        <v>45</v>
      </c>
      <c r="E151" t="s">
        <v>82</v>
      </c>
      <c r="F151" t="s">
        <v>514</v>
      </c>
      <c r="G151" t="s">
        <v>30</v>
      </c>
      <c r="H151" t="s">
        <v>31</v>
      </c>
      <c r="I151" t="s">
        <v>128</v>
      </c>
      <c r="J151" t="s">
        <v>23</v>
      </c>
      <c r="K151">
        <v>590</v>
      </c>
      <c r="L151">
        <v>4</v>
      </c>
      <c r="M151" s="1">
        <v>0.05</v>
      </c>
      <c r="N151">
        <v>89</v>
      </c>
      <c r="O151" t="s">
        <v>24</v>
      </c>
    </row>
    <row r="152" spans="1:15" x14ac:dyDescent="0.35">
      <c r="A152" t="s">
        <v>515</v>
      </c>
      <c r="B152" s="2">
        <v>45812</v>
      </c>
      <c r="C152" t="s">
        <v>342</v>
      </c>
      <c r="D152" t="s">
        <v>27</v>
      </c>
      <c r="E152" t="s">
        <v>86</v>
      </c>
      <c r="F152" t="s">
        <v>516</v>
      </c>
      <c r="G152" t="s">
        <v>20</v>
      </c>
      <c r="H152" t="s">
        <v>62</v>
      </c>
      <c r="I152" t="s">
        <v>63</v>
      </c>
      <c r="J152" t="s">
        <v>33</v>
      </c>
      <c r="K152">
        <v>720</v>
      </c>
      <c r="L152">
        <v>4</v>
      </c>
      <c r="M152" s="1">
        <v>0.1</v>
      </c>
      <c r="N152">
        <v>86</v>
      </c>
      <c r="O152" t="s">
        <v>34</v>
      </c>
    </row>
    <row r="153" spans="1:15" x14ac:dyDescent="0.35">
      <c r="A153" t="s">
        <v>517</v>
      </c>
      <c r="B153" s="2">
        <v>45813</v>
      </c>
      <c r="C153" t="s">
        <v>518</v>
      </c>
      <c r="D153" t="s">
        <v>17</v>
      </c>
      <c r="E153" t="s">
        <v>18</v>
      </c>
      <c r="F153" t="s">
        <v>519</v>
      </c>
      <c r="G153" t="s">
        <v>30</v>
      </c>
      <c r="H153" t="s">
        <v>69</v>
      </c>
      <c r="I153" t="s">
        <v>70</v>
      </c>
      <c r="J153" t="s">
        <v>23</v>
      </c>
      <c r="K153">
        <v>510</v>
      </c>
      <c r="L153">
        <v>5</v>
      </c>
      <c r="M153" s="1">
        <v>0.05</v>
      </c>
      <c r="N153">
        <v>77</v>
      </c>
      <c r="O153" t="s">
        <v>24</v>
      </c>
    </row>
    <row r="154" spans="1:15" x14ac:dyDescent="0.35">
      <c r="A154" t="s">
        <v>520</v>
      </c>
      <c r="B154" s="2">
        <v>45814</v>
      </c>
      <c r="C154" t="s">
        <v>521</v>
      </c>
      <c r="D154" t="s">
        <v>66</v>
      </c>
      <c r="E154" t="s">
        <v>98</v>
      </c>
      <c r="F154" t="s">
        <v>522</v>
      </c>
      <c r="G154" t="s">
        <v>55</v>
      </c>
      <c r="H154" t="s">
        <v>56</v>
      </c>
      <c r="I154" t="s">
        <v>57</v>
      </c>
      <c r="J154" t="s">
        <v>23</v>
      </c>
      <c r="K154">
        <v>850</v>
      </c>
      <c r="L154">
        <v>3</v>
      </c>
      <c r="M154" s="1">
        <v>0.1</v>
      </c>
      <c r="N154">
        <v>102</v>
      </c>
      <c r="O154" t="s">
        <v>34</v>
      </c>
    </row>
    <row r="155" spans="1:15" x14ac:dyDescent="0.35">
      <c r="A155" t="s">
        <v>523</v>
      </c>
      <c r="B155" s="2">
        <v>45815</v>
      </c>
      <c r="C155" t="s">
        <v>524</v>
      </c>
      <c r="D155" t="s">
        <v>37</v>
      </c>
      <c r="E155" t="s">
        <v>102</v>
      </c>
      <c r="F155" t="s">
        <v>525</v>
      </c>
      <c r="G155" t="s">
        <v>20</v>
      </c>
      <c r="H155" t="s">
        <v>48</v>
      </c>
      <c r="I155" t="s">
        <v>116</v>
      </c>
      <c r="J155" t="s">
        <v>33</v>
      </c>
      <c r="K155">
        <v>460</v>
      </c>
      <c r="L155">
        <v>7</v>
      </c>
      <c r="M155" s="1">
        <v>0.05</v>
      </c>
      <c r="N155">
        <v>69</v>
      </c>
      <c r="O155" t="s">
        <v>42</v>
      </c>
    </row>
    <row r="156" spans="1:15" x14ac:dyDescent="0.35">
      <c r="A156" t="s">
        <v>526</v>
      </c>
      <c r="B156" s="2">
        <v>45816</v>
      </c>
      <c r="C156" t="s">
        <v>411</v>
      </c>
      <c r="D156" t="s">
        <v>45</v>
      </c>
      <c r="E156" t="s">
        <v>46</v>
      </c>
      <c r="F156" t="s">
        <v>527</v>
      </c>
      <c r="G156" t="s">
        <v>30</v>
      </c>
      <c r="H156" t="s">
        <v>40</v>
      </c>
      <c r="I156" t="s">
        <v>74</v>
      </c>
      <c r="J156" t="s">
        <v>23</v>
      </c>
      <c r="K156">
        <v>1050</v>
      </c>
      <c r="L156">
        <v>3</v>
      </c>
      <c r="M156" s="1">
        <v>0.1</v>
      </c>
      <c r="N156">
        <v>126</v>
      </c>
      <c r="O156" t="s">
        <v>24</v>
      </c>
    </row>
    <row r="157" spans="1:15" x14ac:dyDescent="0.35">
      <c r="A157" t="s">
        <v>528</v>
      </c>
      <c r="B157" s="2">
        <v>45817</v>
      </c>
      <c r="C157" t="s">
        <v>237</v>
      </c>
      <c r="D157" t="s">
        <v>27</v>
      </c>
      <c r="E157" t="s">
        <v>111</v>
      </c>
      <c r="F157" t="s">
        <v>529</v>
      </c>
      <c r="G157" t="s">
        <v>88</v>
      </c>
      <c r="H157" t="s">
        <v>89</v>
      </c>
      <c r="I157" t="s">
        <v>90</v>
      </c>
      <c r="J157" t="s">
        <v>23</v>
      </c>
      <c r="K157">
        <v>780</v>
      </c>
      <c r="L157">
        <v>3</v>
      </c>
      <c r="M157" s="1">
        <v>0.05</v>
      </c>
      <c r="N157">
        <v>117</v>
      </c>
      <c r="O157" t="s">
        <v>34</v>
      </c>
    </row>
    <row r="158" spans="1:15" x14ac:dyDescent="0.35">
      <c r="A158" t="s">
        <v>530</v>
      </c>
      <c r="B158" s="2">
        <v>45818</v>
      </c>
      <c r="C158" t="s">
        <v>531</v>
      </c>
      <c r="D158" t="s">
        <v>17</v>
      </c>
      <c r="E158" t="s">
        <v>53</v>
      </c>
      <c r="F158" t="s">
        <v>532</v>
      </c>
      <c r="G158" t="s">
        <v>30</v>
      </c>
      <c r="H158" t="s">
        <v>40</v>
      </c>
      <c r="I158" t="s">
        <v>41</v>
      </c>
      <c r="J158" t="s">
        <v>33</v>
      </c>
      <c r="K158">
        <v>990</v>
      </c>
      <c r="L158">
        <v>3</v>
      </c>
      <c r="M158" s="1">
        <v>0.05</v>
      </c>
      <c r="N158">
        <v>149</v>
      </c>
      <c r="O158" t="s">
        <v>24</v>
      </c>
    </row>
    <row r="159" spans="1:15" x14ac:dyDescent="0.35">
      <c r="A159" t="s">
        <v>533</v>
      </c>
      <c r="B159" s="2">
        <v>45819</v>
      </c>
      <c r="C159" t="s">
        <v>420</v>
      </c>
      <c r="D159" t="s">
        <v>66</v>
      </c>
      <c r="E159" t="s">
        <v>119</v>
      </c>
      <c r="F159" t="s">
        <v>534</v>
      </c>
      <c r="G159" t="s">
        <v>55</v>
      </c>
      <c r="H159" t="s">
        <v>56</v>
      </c>
      <c r="I159" t="s">
        <v>79</v>
      </c>
      <c r="J159" t="s">
        <v>23</v>
      </c>
      <c r="K159">
        <v>940</v>
      </c>
      <c r="L159">
        <v>3</v>
      </c>
      <c r="M159" s="1">
        <v>0.1</v>
      </c>
      <c r="N159">
        <v>113</v>
      </c>
      <c r="O159" t="s">
        <v>42</v>
      </c>
    </row>
    <row r="160" spans="1:15" x14ac:dyDescent="0.35">
      <c r="A160" t="s">
        <v>535</v>
      </c>
      <c r="B160" s="2">
        <v>45820</v>
      </c>
      <c r="C160" t="s">
        <v>536</v>
      </c>
      <c r="D160" t="s">
        <v>37</v>
      </c>
      <c r="E160" t="s">
        <v>123</v>
      </c>
      <c r="F160" t="s">
        <v>537</v>
      </c>
      <c r="G160" t="s">
        <v>30</v>
      </c>
      <c r="H160" t="s">
        <v>31</v>
      </c>
      <c r="I160" t="s">
        <v>32</v>
      </c>
      <c r="J160" t="s">
        <v>23</v>
      </c>
      <c r="K160">
        <v>610</v>
      </c>
      <c r="L160">
        <v>5</v>
      </c>
      <c r="M160" s="1">
        <v>0.05</v>
      </c>
      <c r="N160">
        <v>92</v>
      </c>
      <c r="O160" t="s">
        <v>34</v>
      </c>
    </row>
    <row r="161" spans="1:15" x14ac:dyDescent="0.35">
      <c r="A161" t="s">
        <v>538</v>
      </c>
      <c r="B161" s="2">
        <v>45821</v>
      </c>
      <c r="C161" t="s">
        <v>539</v>
      </c>
      <c r="D161" t="s">
        <v>45</v>
      </c>
      <c r="E161" t="s">
        <v>82</v>
      </c>
      <c r="F161" t="s">
        <v>540</v>
      </c>
      <c r="G161" t="s">
        <v>20</v>
      </c>
      <c r="H161" t="s">
        <v>21</v>
      </c>
      <c r="I161" t="s">
        <v>22</v>
      </c>
      <c r="J161" t="s">
        <v>50</v>
      </c>
      <c r="K161">
        <v>820</v>
      </c>
      <c r="L161">
        <v>4</v>
      </c>
      <c r="M161" s="1">
        <v>0.1</v>
      </c>
      <c r="N161">
        <v>98</v>
      </c>
      <c r="O161" t="s">
        <v>24</v>
      </c>
    </row>
    <row r="162" spans="1:15" x14ac:dyDescent="0.35">
      <c r="A162" t="s">
        <v>541</v>
      </c>
      <c r="B162" s="2">
        <v>45822</v>
      </c>
      <c r="C162" t="s">
        <v>542</v>
      </c>
      <c r="D162" t="s">
        <v>17</v>
      </c>
      <c r="E162" t="s">
        <v>18</v>
      </c>
      <c r="F162" t="s">
        <v>543</v>
      </c>
      <c r="G162" t="s">
        <v>20</v>
      </c>
      <c r="H162" t="s">
        <v>62</v>
      </c>
      <c r="I162" t="s">
        <v>132</v>
      </c>
      <c r="J162" t="s">
        <v>23</v>
      </c>
      <c r="K162">
        <v>1410</v>
      </c>
      <c r="L162">
        <v>2</v>
      </c>
      <c r="M162" s="1">
        <v>0.05</v>
      </c>
      <c r="N162">
        <v>212</v>
      </c>
      <c r="O162" t="s">
        <v>34</v>
      </c>
    </row>
    <row r="163" spans="1:15" x14ac:dyDescent="0.35">
      <c r="A163" t="s">
        <v>544</v>
      </c>
      <c r="B163" s="2">
        <v>45823</v>
      </c>
      <c r="C163" t="s">
        <v>255</v>
      </c>
      <c r="D163" t="s">
        <v>27</v>
      </c>
      <c r="E163" t="s">
        <v>28</v>
      </c>
      <c r="F163" t="s">
        <v>545</v>
      </c>
      <c r="G163" t="s">
        <v>20</v>
      </c>
      <c r="H163" t="s">
        <v>94</v>
      </c>
      <c r="I163" t="s">
        <v>104</v>
      </c>
      <c r="J163" t="s">
        <v>23</v>
      </c>
      <c r="K163">
        <v>520</v>
      </c>
      <c r="L163">
        <v>8</v>
      </c>
      <c r="M163" s="1">
        <v>0.1</v>
      </c>
      <c r="N163">
        <v>62</v>
      </c>
      <c r="O163" t="s">
        <v>42</v>
      </c>
    </row>
    <row r="164" spans="1:15" x14ac:dyDescent="0.35">
      <c r="A164" t="s">
        <v>546</v>
      </c>
      <c r="B164" s="2">
        <v>45824</v>
      </c>
      <c r="C164" t="s">
        <v>258</v>
      </c>
      <c r="D164" t="s">
        <v>37</v>
      </c>
      <c r="E164" t="s">
        <v>38</v>
      </c>
      <c r="F164" t="s">
        <v>547</v>
      </c>
      <c r="G164" t="s">
        <v>30</v>
      </c>
      <c r="H164" t="s">
        <v>40</v>
      </c>
      <c r="I164" t="s">
        <v>139</v>
      </c>
      <c r="J164" t="s">
        <v>33</v>
      </c>
      <c r="K164">
        <v>450</v>
      </c>
      <c r="L164">
        <v>7</v>
      </c>
      <c r="M164" s="1">
        <v>0.05</v>
      </c>
      <c r="N164">
        <v>68</v>
      </c>
      <c r="O164" t="s">
        <v>24</v>
      </c>
    </row>
    <row r="165" spans="1:15" x14ac:dyDescent="0.35">
      <c r="A165" t="s">
        <v>548</v>
      </c>
      <c r="B165" s="2">
        <v>45825</v>
      </c>
      <c r="C165" t="s">
        <v>261</v>
      </c>
      <c r="D165" t="s">
        <v>45</v>
      </c>
      <c r="E165" t="s">
        <v>46</v>
      </c>
      <c r="F165" t="s">
        <v>549</v>
      </c>
      <c r="G165" t="s">
        <v>55</v>
      </c>
      <c r="H165" t="s">
        <v>56</v>
      </c>
      <c r="I165" t="s">
        <v>57</v>
      </c>
      <c r="J165" t="s">
        <v>23</v>
      </c>
      <c r="K165">
        <v>680</v>
      </c>
      <c r="L165">
        <v>5</v>
      </c>
      <c r="M165" s="1">
        <v>0.1</v>
      </c>
      <c r="N165">
        <v>82</v>
      </c>
      <c r="O165" t="s">
        <v>24</v>
      </c>
    </row>
    <row r="166" spans="1:15" x14ac:dyDescent="0.35">
      <c r="A166" t="s">
        <v>550</v>
      </c>
      <c r="B166" s="2">
        <v>45826</v>
      </c>
      <c r="C166" t="s">
        <v>381</v>
      </c>
      <c r="D166" t="s">
        <v>17</v>
      </c>
      <c r="E166" t="s">
        <v>53</v>
      </c>
      <c r="F166" t="s">
        <v>551</v>
      </c>
      <c r="G166" t="s">
        <v>30</v>
      </c>
      <c r="H166" t="s">
        <v>31</v>
      </c>
      <c r="I166" t="s">
        <v>108</v>
      </c>
      <c r="J166" t="s">
        <v>23</v>
      </c>
      <c r="K166">
        <v>860</v>
      </c>
      <c r="L166">
        <v>4</v>
      </c>
      <c r="M166" s="1">
        <v>0.05</v>
      </c>
      <c r="N166">
        <v>129</v>
      </c>
      <c r="O166" t="s">
        <v>34</v>
      </c>
    </row>
    <row r="167" spans="1:15" x14ac:dyDescent="0.35">
      <c r="A167" t="s">
        <v>552</v>
      </c>
      <c r="B167" s="2">
        <v>45827</v>
      </c>
      <c r="C167" t="s">
        <v>553</v>
      </c>
      <c r="D167" t="s">
        <v>27</v>
      </c>
      <c r="E167" t="s">
        <v>60</v>
      </c>
      <c r="F167" t="s">
        <v>554</v>
      </c>
      <c r="G167" t="s">
        <v>20</v>
      </c>
      <c r="H167" t="s">
        <v>48</v>
      </c>
      <c r="I167" t="s">
        <v>49</v>
      </c>
      <c r="J167" t="s">
        <v>50</v>
      </c>
      <c r="K167">
        <v>590</v>
      </c>
      <c r="L167">
        <v>5</v>
      </c>
      <c r="M167" s="1">
        <v>0.05</v>
      </c>
      <c r="N167">
        <v>89</v>
      </c>
      <c r="O167" t="s">
        <v>42</v>
      </c>
    </row>
    <row r="168" spans="1:15" x14ac:dyDescent="0.35">
      <c r="A168" t="s">
        <v>555</v>
      </c>
      <c r="B168" s="2">
        <v>45828</v>
      </c>
      <c r="C168" t="s">
        <v>387</v>
      </c>
      <c r="D168" t="s">
        <v>66</v>
      </c>
      <c r="E168" t="s">
        <v>67</v>
      </c>
      <c r="F168" t="s">
        <v>556</v>
      </c>
      <c r="G168" t="s">
        <v>20</v>
      </c>
      <c r="H168" t="s">
        <v>21</v>
      </c>
      <c r="I168" t="s">
        <v>22</v>
      </c>
      <c r="J168" t="s">
        <v>23</v>
      </c>
      <c r="K168">
        <v>550</v>
      </c>
      <c r="L168">
        <v>8</v>
      </c>
      <c r="M168" s="1">
        <v>0.1</v>
      </c>
      <c r="N168">
        <v>66</v>
      </c>
      <c r="O168" t="s">
        <v>24</v>
      </c>
    </row>
    <row r="169" spans="1:15" x14ac:dyDescent="0.35">
      <c r="A169" t="s">
        <v>557</v>
      </c>
      <c r="B169" s="2">
        <v>45829</v>
      </c>
      <c r="C169" t="s">
        <v>390</v>
      </c>
      <c r="D169" t="s">
        <v>17</v>
      </c>
      <c r="E169" t="s">
        <v>18</v>
      </c>
      <c r="F169" t="s">
        <v>558</v>
      </c>
      <c r="G169" t="s">
        <v>30</v>
      </c>
      <c r="H169" t="s">
        <v>40</v>
      </c>
      <c r="I169" t="s">
        <v>41</v>
      </c>
      <c r="J169" t="s">
        <v>33</v>
      </c>
      <c r="K169">
        <v>980</v>
      </c>
      <c r="L169">
        <v>3</v>
      </c>
      <c r="M169" s="1">
        <v>0.05</v>
      </c>
      <c r="N169">
        <v>147</v>
      </c>
      <c r="O169" t="s">
        <v>34</v>
      </c>
    </row>
    <row r="170" spans="1:15" x14ac:dyDescent="0.35">
      <c r="A170" t="s">
        <v>559</v>
      </c>
      <c r="B170" s="2">
        <v>45830</v>
      </c>
      <c r="C170" t="s">
        <v>393</v>
      </c>
      <c r="D170" t="s">
        <v>37</v>
      </c>
      <c r="E170" t="s">
        <v>77</v>
      </c>
      <c r="F170" t="s">
        <v>560</v>
      </c>
      <c r="G170" t="s">
        <v>55</v>
      </c>
      <c r="H170" t="s">
        <v>56</v>
      </c>
      <c r="I170" t="s">
        <v>79</v>
      </c>
      <c r="J170" t="s">
        <v>23</v>
      </c>
      <c r="K170">
        <v>520</v>
      </c>
      <c r="L170">
        <v>8</v>
      </c>
      <c r="M170" s="1">
        <v>0.1</v>
      </c>
      <c r="N170">
        <v>62</v>
      </c>
      <c r="O170" t="s">
        <v>42</v>
      </c>
    </row>
    <row r="171" spans="1:15" x14ac:dyDescent="0.35">
      <c r="A171" t="s">
        <v>561</v>
      </c>
      <c r="B171" s="2">
        <v>45831</v>
      </c>
      <c r="C171" t="s">
        <v>562</v>
      </c>
      <c r="D171" t="s">
        <v>45</v>
      </c>
      <c r="E171" t="s">
        <v>82</v>
      </c>
      <c r="F171" t="s">
        <v>563</v>
      </c>
      <c r="G171" t="s">
        <v>30</v>
      </c>
      <c r="H171" t="s">
        <v>31</v>
      </c>
      <c r="I171" t="s">
        <v>128</v>
      </c>
      <c r="J171" t="s">
        <v>23</v>
      </c>
      <c r="K171">
        <v>760</v>
      </c>
      <c r="L171">
        <v>3</v>
      </c>
      <c r="M171" s="1">
        <v>0.05</v>
      </c>
      <c r="N171">
        <v>114</v>
      </c>
      <c r="O171" t="s">
        <v>24</v>
      </c>
    </row>
    <row r="172" spans="1:15" x14ac:dyDescent="0.35">
      <c r="A172" t="s">
        <v>564</v>
      </c>
      <c r="B172" s="2">
        <v>45832</v>
      </c>
      <c r="C172" t="s">
        <v>399</v>
      </c>
      <c r="D172" t="s">
        <v>27</v>
      </c>
      <c r="E172" t="s">
        <v>86</v>
      </c>
      <c r="F172" t="s">
        <v>565</v>
      </c>
      <c r="G172" t="s">
        <v>20</v>
      </c>
      <c r="H172" t="s">
        <v>62</v>
      </c>
      <c r="I172" t="s">
        <v>63</v>
      </c>
      <c r="J172" t="s">
        <v>33</v>
      </c>
      <c r="K172">
        <v>1020</v>
      </c>
      <c r="L172">
        <v>3</v>
      </c>
      <c r="M172" s="1">
        <v>0.1</v>
      </c>
      <c r="N172">
        <v>122</v>
      </c>
      <c r="O172" t="s">
        <v>34</v>
      </c>
    </row>
    <row r="173" spans="1:15" x14ac:dyDescent="0.35">
      <c r="A173" t="s">
        <v>566</v>
      </c>
      <c r="B173" s="2">
        <v>45833</v>
      </c>
      <c r="C173" t="s">
        <v>402</v>
      </c>
      <c r="D173" t="s">
        <v>17</v>
      </c>
      <c r="E173" t="s">
        <v>18</v>
      </c>
      <c r="F173" t="s">
        <v>567</v>
      </c>
      <c r="G173" t="s">
        <v>30</v>
      </c>
      <c r="H173" t="s">
        <v>69</v>
      </c>
      <c r="I173" t="s">
        <v>70</v>
      </c>
      <c r="J173" t="s">
        <v>23</v>
      </c>
      <c r="K173">
        <v>690</v>
      </c>
      <c r="L173">
        <v>4</v>
      </c>
      <c r="M173" s="1">
        <v>0.05</v>
      </c>
      <c r="N173">
        <v>104</v>
      </c>
      <c r="O173" t="s">
        <v>24</v>
      </c>
    </row>
    <row r="174" spans="1:15" x14ac:dyDescent="0.35">
      <c r="A174" t="s">
        <v>568</v>
      </c>
      <c r="B174" s="2">
        <v>45834</v>
      </c>
      <c r="C174" t="s">
        <v>464</v>
      </c>
      <c r="D174" t="s">
        <v>66</v>
      </c>
      <c r="E174" t="s">
        <v>98</v>
      </c>
      <c r="F174" t="s">
        <v>569</v>
      </c>
      <c r="G174" t="s">
        <v>55</v>
      </c>
      <c r="H174" t="s">
        <v>56</v>
      </c>
      <c r="I174" t="s">
        <v>57</v>
      </c>
      <c r="J174" t="s">
        <v>23</v>
      </c>
      <c r="K174">
        <v>920</v>
      </c>
      <c r="L174">
        <v>3</v>
      </c>
      <c r="M174" s="1">
        <v>0.1</v>
      </c>
      <c r="N174">
        <v>110</v>
      </c>
      <c r="O174" t="s">
        <v>34</v>
      </c>
    </row>
    <row r="175" spans="1:15" x14ac:dyDescent="0.35">
      <c r="A175" t="s">
        <v>570</v>
      </c>
      <c r="B175" s="2">
        <v>45835</v>
      </c>
      <c r="C175" t="s">
        <v>467</v>
      </c>
      <c r="D175" t="s">
        <v>37</v>
      </c>
      <c r="E175" t="s">
        <v>102</v>
      </c>
      <c r="F175" t="s">
        <v>571</v>
      </c>
      <c r="G175" t="s">
        <v>20</v>
      </c>
      <c r="H175" t="s">
        <v>48</v>
      </c>
      <c r="I175" t="s">
        <v>116</v>
      </c>
      <c r="J175" t="s">
        <v>33</v>
      </c>
      <c r="K175">
        <v>530</v>
      </c>
      <c r="L175">
        <v>7</v>
      </c>
      <c r="M175" s="1">
        <v>0.05</v>
      </c>
      <c r="N175">
        <v>80</v>
      </c>
      <c r="O175" t="s">
        <v>42</v>
      </c>
    </row>
    <row r="176" spans="1:15" x14ac:dyDescent="0.35">
      <c r="A176" t="s">
        <v>572</v>
      </c>
      <c r="B176" s="2">
        <v>45836</v>
      </c>
      <c r="C176" t="s">
        <v>470</v>
      </c>
      <c r="D176" t="s">
        <v>45</v>
      </c>
      <c r="E176" t="s">
        <v>46</v>
      </c>
      <c r="F176" t="s">
        <v>573</v>
      </c>
      <c r="G176" t="s">
        <v>30</v>
      </c>
      <c r="H176" t="s">
        <v>40</v>
      </c>
      <c r="I176" t="s">
        <v>74</v>
      </c>
      <c r="J176" t="s">
        <v>23</v>
      </c>
      <c r="K176">
        <v>580</v>
      </c>
      <c r="L176">
        <v>5</v>
      </c>
      <c r="M176" s="1">
        <v>0.1</v>
      </c>
      <c r="N176">
        <v>70</v>
      </c>
      <c r="O176" t="s">
        <v>24</v>
      </c>
    </row>
    <row r="177" spans="1:15" x14ac:dyDescent="0.35">
      <c r="A177" t="s">
        <v>574</v>
      </c>
      <c r="B177" s="2">
        <v>45837</v>
      </c>
      <c r="C177" t="s">
        <v>473</v>
      </c>
      <c r="D177" t="s">
        <v>27</v>
      </c>
      <c r="E177" t="s">
        <v>111</v>
      </c>
      <c r="F177" t="s">
        <v>575</v>
      </c>
      <c r="G177" t="s">
        <v>88</v>
      </c>
      <c r="H177" t="s">
        <v>89</v>
      </c>
      <c r="I177" t="s">
        <v>90</v>
      </c>
      <c r="J177" t="s">
        <v>23</v>
      </c>
      <c r="K177">
        <v>880</v>
      </c>
      <c r="L177">
        <v>3</v>
      </c>
      <c r="M177" s="1">
        <v>0.05</v>
      </c>
      <c r="N177">
        <v>132</v>
      </c>
      <c r="O177" t="s">
        <v>34</v>
      </c>
    </row>
    <row r="178" spans="1:15" x14ac:dyDescent="0.35">
      <c r="A178" t="s">
        <v>576</v>
      </c>
      <c r="B178" s="2">
        <v>45838</v>
      </c>
      <c r="C178" t="s">
        <v>476</v>
      </c>
      <c r="D178" t="s">
        <v>17</v>
      </c>
      <c r="E178" t="s">
        <v>53</v>
      </c>
      <c r="F178" t="s">
        <v>577</v>
      </c>
      <c r="G178" t="s">
        <v>30</v>
      </c>
      <c r="H178" t="s">
        <v>40</v>
      </c>
      <c r="I178" t="s">
        <v>41</v>
      </c>
      <c r="J178" t="s">
        <v>33</v>
      </c>
      <c r="K178">
        <v>750</v>
      </c>
      <c r="L178">
        <v>4</v>
      </c>
      <c r="M178" s="1">
        <v>0.05</v>
      </c>
      <c r="N178">
        <v>113</v>
      </c>
      <c r="O178" t="s">
        <v>24</v>
      </c>
    </row>
    <row r="179" spans="1:15" x14ac:dyDescent="0.35">
      <c r="A179" t="s">
        <v>578</v>
      </c>
      <c r="B179" s="2">
        <v>45839</v>
      </c>
      <c r="C179" t="s">
        <v>479</v>
      </c>
      <c r="D179" t="s">
        <v>66</v>
      </c>
      <c r="E179" t="s">
        <v>119</v>
      </c>
      <c r="F179" t="s">
        <v>579</v>
      </c>
      <c r="G179" t="s">
        <v>55</v>
      </c>
      <c r="H179" t="s">
        <v>56</v>
      </c>
      <c r="I179" t="s">
        <v>79</v>
      </c>
      <c r="J179" t="s">
        <v>23</v>
      </c>
      <c r="K179">
        <v>640</v>
      </c>
      <c r="L179">
        <v>4</v>
      </c>
      <c r="M179" s="1">
        <v>0.1</v>
      </c>
      <c r="N179">
        <v>77</v>
      </c>
      <c r="O179" t="s">
        <v>42</v>
      </c>
    </row>
    <row r="180" spans="1:15" x14ac:dyDescent="0.35">
      <c r="A180" t="s">
        <v>580</v>
      </c>
      <c r="B180" s="2">
        <v>45840</v>
      </c>
      <c r="C180" t="s">
        <v>276</v>
      </c>
      <c r="D180" t="s">
        <v>37</v>
      </c>
      <c r="E180" t="s">
        <v>123</v>
      </c>
      <c r="F180" t="s">
        <v>581</v>
      </c>
      <c r="G180" t="s">
        <v>30</v>
      </c>
      <c r="H180" t="s">
        <v>31</v>
      </c>
      <c r="I180" t="s">
        <v>32</v>
      </c>
      <c r="J180" t="s">
        <v>23</v>
      </c>
      <c r="K180">
        <v>570</v>
      </c>
      <c r="L180">
        <v>5</v>
      </c>
      <c r="M180" s="1">
        <v>0.05</v>
      </c>
      <c r="N180">
        <v>86</v>
      </c>
      <c r="O180" t="s">
        <v>34</v>
      </c>
    </row>
    <row r="181" spans="1:15" x14ac:dyDescent="0.35">
      <c r="A181" t="s">
        <v>582</v>
      </c>
      <c r="B181" s="2">
        <v>45841</v>
      </c>
      <c r="C181" t="s">
        <v>484</v>
      </c>
      <c r="D181" t="s">
        <v>45</v>
      </c>
      <c r="E181" t="s">
        <v>82</v>
      </c>
      <c r="F181" t="s">
        <v>583</v>
      </c>
      <c r="G181" t="s">
        <v>20</v>
      </c>
      <c r="H181" t="s">
        <v>21</v>
      </c>
      <c r="I181" t="s">
        <v>22</v>
      </c>
      <c r="J181" t="s">
        <v>50</v>
      </c>
      <c r="K181">
        <v>720</v>
      </c>
      <c r="L181">
        <v>3</v>
      </c>
      <c r="M181" s="1">
        <v>0.1</v>
      </c>
      <c r="N181">
        <v>86</v>
      </c>
      <c r="O181" t="s">
        <v>24</v>
      </c>
    </row>
    <row r="182" spans="1:15" x14ac:dyDescent="0.35">
      <c r="A182" t="s">
        <v>584</v>
      </c>
      <c r="B182" s="2">
        <v>45842</v>
      </c>
      <c r="C182" t="s">
        <v>487</v>
      </c>
      <c r="D182" t="s">
        <v>17</v>
      </c>
      <c r="E182" t="s">
        <v>18</v>
      </c>
      <c r="F182" t="s">
        <v>585</v>
      </c>
      <c r="G182" t="s">
        <v>20</v>
      </c>
      <c r="H182" t="s">
        <v>62</v>
      </c>
      <c r="I182" t="s">
        <v>132</v>
      </c>
      <c r="J182" t="s">
        <v>23</v>
      </c>
      <c r="K182">
        <v>1290</v>
      </c>
      <c r="L182">
        <v>2</v>
      </c>
      <c r="M182" s="1">
        <v>0.05</v>
      </c>
      <c r="N182">
        <v>194</v>
      </c>
      <c r="O182" t="s">
        <v>34</v>
      </c>
    </row>
    <row r="183" spans="1:15" x14ac:dyDescent="0.35">
      <c r="A183" t="s">
        <v>586</v>
      </c>
      <c r="B183" s="2">
        <v>45843</v>
      </c>
      <c r="C183" t="s">
        <v>490</v>
      </c>
      <c r="D183" t="s">
        <v>27</v>
      </c>
      <c r="E183" t="s">
        <v>28</v>
      </c>
      <c r="F183" t="s">
        <v>587</v>
      </c>
      <c r="G183" t="s">
        <v>20</v>
      </c>
      <c r="H183" t="s">
        <v>94</v>
      </c>
      <c r="I183" t="s">
        <v>95</v>
      </c>
      <c r="J183" t="s">
        <v>23</v>
      </c>
      <c r="K183">
        <v>490</v>
      </c>
      <c r="L183">
        <v>8</v>
      </c>
      <c r="M183" s="1">
        <v>0.1</v>
      </c>
      <c r="N183">
        <v>59</v>
      </c>
      <c r="O183" t="s">
        <v>42</v>
      </c>
    </row>
    <row r="184" spans="1:15" x14ac:dyDescent="0.35">
      <c r="A184" t="s">
        <v>588</v>
      </c>
      <c r="B184" s="2">
        <v>45844</v>
      </c>
      <c r="C184" t="s">
        <v>493</v>
      </c>
      <c r="D184" t="s">
        <v>37</v>
      </c>
      <c r="E184" t="s">
        <v>38</v>
      </c>
      <c r="F184" t="s">
        <v>589</v>
      </c>
      <c r="G184" t="s">
        <v>30</v>
      </c>
      <c r="H184" t="s">
        <v>40</v>
      </c>
      <c r="I184" t="s">
        <v>139</v>
      </c>
      <c r="J184" t="s">
        <v>33</v>
      </c>
      <c r="K184">
        <v>470</v>
      </c>
      <c r="L184">
        <v>7</v>
      </c>
      <c r="M184" s="1">
        <v>0.05</v>
      </c>
      <c r="N184">
        <v>71</v>
      </c>
      <c r="O184" t="s">
        <v>24</v>
      </c>
    </row>
    <row r="185" spans="1:15" x14ac:dyDescent="0.35">
      <c r="A185" t="s">
        <v>590</v>
      </c>
      <c r="B185" s="2">
        <v>45845</v>
      </c>
      <c r="C185" t="s">
        <v>496</v>
      </c>
      <c r="D185" t="s">
        <v>45</v>
      </c>
      <c r="E185" t="s">
        <v>46</v>
      </c>
      <c r="F185" t="s">
        <v>591</v>
      </c>
      <c r="G185" t="s">
        <v>55</v>
      </c>
      <c r="H185" t="s">
        <v>56</v>
      </c>
      <c r="I185" t="s">
        <v>57</v>
      </c>
      <c r="J185" t="s">
        <v>23</v>
      </c>
      <c r="K185">
        <v>610</v>
      </c>
      <c r="L185">
        <v>5</v>
      </c>
      <c r="M185" s="1">
        <v>0.1</v>
      </c>
      <c r="N185">
        <v>73</v>
      </c>
      <c r="O185" t="s">
        <v>24</v>
      </c>
    </row>
    <row r="186" spans="1:15" x14ac:dyDescent="0.35">
      <c r="A186" t="s">
        <v>592</v>
      </c>
      <c r="B186" s="2">
        <v>45846</v>
      </c>
      <c r="C186" t="s">
        <v>204</v>
      </c>
      <c r="D186" t="s">
        <v>17</v>
      </c>
      <c r="E186" t="s">
        <v>53</v>
      </c>
      <c r="F186" t="s">
        <v>593</v>
      </c>
      <c r="G186" t="s">
        <v>30</v>
      </c>
      <c r="H186" t="s">
        <v>31</v>
      </c>
      <c r="I186" t="s">
        <v>108</v>
      </c>
      <c r="J186" t="s">
        <v>23</v>
      </c>
      <c r="K186">
        <v>890</v>
      </c>
      <c r="L186">
        <v>4</v>
      </c>
      <c r="M186" s="1">
        <v>0.05</v>
      </c>
      <c r="N186">
        <v>134</v>
      </c>
      <c r="O186" t="s">
        <v>34</v>
      </c>
    </row>
    <row r="187" spans="1:15" x14ac:dyDescent="0.35">
      <c r="A187" t="s">
        <v>594</v>
      </c>
      <c r="B187" s="2">
        <v>45847</v>
      </c>
      <c r="C187" t="s">
        <v>501</v>
      </c>
      <c r="D187" t="s">
        <v>27</v>
      </c>
      <c r="E187" t="s">
        <v>60</v>
      </c>
      <c r="F187" t="s">
        <v>595</v>
      </c>
      <c r="G187" t="s">
        <v>20</v>
      </c>
      <c r="H187" t="s">
        <v>48</v>
      </c>
      <c r="I187" t="s">
        <v>49</v>
      </c>
      <c r="J187" t="s">
        <v>50</v>
      </c>
      <c r="K187">
        <v>650</v>
      </c>
      <c r="L187">
        <v>5</v>
      </c>
      <c r="M187" s="1">
        <v>0.05</v>
      </c>
      <c r="N187">
        <v>98</v>
      </c>
      <c r="O187" t="s">
        <v>42</v>
      </c>
    </row>
    <row r="188" spans="1:15" x14ac:dyDescent="0.35">
      <c r="A188" t="s">
        <v>596</v>
      </c>
      <c r="B188" s="2">
        <v>45848</v>
      </c>
      <c r="C188" t="s">
        <v>504</v>
      </c>
      <c r="D188" t="s">
        <v>66</v>
      </c>
      <c r="E188" t="s">
        <v>67</v>
      </c>
      <c r="F188" t="s">
        <v>597</v>
      </c>
      <c r="G188" t="s">
        <v>20</v>
      </c>
      <c r="H188" t="s">
        <v>21</v>
      </c>
      <c r="I188" t="s">
        <v>22</v>
      </c>
      <c r="J188" t="s">
        <v>23</v>
      </c>
      <c r="K188">
        <v>570</v>
      </c>
      <c r="L188">
        <v>8</v>
      </c>
      <c r="M188" s="1">
        <v>0.1</v>
      </c>
      <c r="N188">
        <v>68</v>
      </c>
      <c r="O188" t="s">
        <v>24</v>
      </c>
    </row>
    <row r="189" spans="1:15" x14ac:dyDescent="0.35">
      <c r="A189" t="s">
        <v>598</v>
      </c>
      <c r="B189" s="2">
        <v>45849</v>
      </c>
      <c r="C189" t="s">
        <v>507</v>
      </c>
      <c r="D189" t="s">
        <v>17</v>
      </c>
      <c r="E189" t="s">
        <v>18</v>
      </c>
      <c r="F189" t="s">
        <v>599</v>
      </c>
      <c r="G189" t="s">
        <v>30</v>
      </c>
      <c r="H189" t="s">
        <v>40</v>
      </c>
      <c r="I189" t="s">
        <v>41</v>
      </c>
      <c r="J189" t="s">
        <v>33</v>
      </c>
      <c r="K189">
        <v>840</v>
      </c>
      <c r="L189">
        <v>4</v>
      </c>
      <c r="M189" s="1">
        <v>0.05</v>
      </c>
      <c r="N189">
        <v>126</v>
      </c>
      <c r="O189" t="s">
        <v>34</v>
      </c>
    </row>
    <row r="190" spans="1:15" x14ac:dyDescent="0.35">
      <c r="A190" t="s">
        <v>600</v>
      </c>
      <c r="B190" s="2">
        <v>45850</v>
      </c>
      <c r="C190" t="s">
        <v>510</v>
      </c>
      <c r="D190" t="s">
        <v>37</v>
      </c>
      <c r="E190" t="s">
        <v>77</v>
      </c>
      <c r="F190" t="s">
        <v>601</v>
      </c>
      <c r="G190" t="s">
        <v>55</v>
      </c>
      <c r="H190" t="s">
        <v>56</v>
      </c>
      <c r="I190" t="s">
        <v>79</v>
      </c>
      <c r="J190" t="s">
        <v>23</v>
      </c>
      <c r="K190">
        <v>430</v>
      </c>
      <c r="L190">
        <v>8</v>
      </c>
      <c r="M190" s="1">
        <v>0.1</v>
      </c>
      <c r="N190">
        <v>52</v>
      </c>
      <c r="O190" t="s">
        <v>42</v>
      </c>
    </row>
    <row r="191" spans="1:15" x14ac:dyDescent="0.35">
      <c r="A191" t="s">
        <v>602</v>
      </c>
      <c r="B191" s="2">
        <v>45851</v>
      </c>
      <c r="C191" t="s">
        <v>513</v>
      </c>
      <c r="D191" t="s">
        <v>45</v>
      </c>
      <c r="E191" t="s">
        <v>82</v>
      </c>
      <c r="F191" t="s">
        <v>603</v>
      </c>
      <c r="G191" t="s">
        <v>30</v>
      </c>
      <c r="H191" t="s">
        <v>31</v>
      </c>
      <c r="I191" t="s">
        <v>128</v>
      </c>
      <c r="J191" t="s">
        <v>23</v>
      </c>
      <c r="K191">
        <v>650</v>
      </c>
      <c r="L191">
        <v>4</v>
      </c>
      <c r="M191" s="1">
        <v>0.05</v>
      </c>
      <c r="N191">
        <v>98</v>
      </c>
      <c r="O191" t="s">
        <v>24</v>
      </c>
    </row>
    <row r="192" spans="1:15" x14ac:dyDescent="0.35">
      <c r="A192" t="s">
        <v>604</v>
      </c>
      <c r="B192" s="2">
        <v>45852</v>
      </c>
      <c r="C192" t="s">
        <v>342</v>
      </c>
      <c r="D192" t="s">
        <v>27</v>
      </c>
      <c r="E192" t="s">
        <v>86</v>
      </c>
      <c r="F192" t="s">
        <v>605</v>
      </c>
      <c r="G192" t="s">
        <v>20</v>
      </c>
      <c r="H192" t="s">
        <v>62</v>
      </c>
      <c r="I192" t="s">
        <v>63</v>
      </c>
      <c r="J192" t="s">
        <v>33</v>
      </c>
      <c r="K192">
        <v>780</v>
      </c>
      <c r="L192">
        <v>4</v>
      </c>
      <c r="M192" s="1">
        <v>0.1</v>
      </c>
      <c r="N192">
        <v>94</v>
      </c>
      <c r="O192" t="s">
        <v>34</v>
      </c>
    </row>
    <row r="193" spans="1:15" x14ac:dyDescent="0.35">
      <c r="A193" t="s">
        <v>606</v>
      </c>
      <c r="B193" s="2">
        <v>45853</v>
      </c>
      <c r="C193" t="s">
        <v>518</v>
      </c>
      <c r="D193" t="s">
        <v>17</v>
      </c>
      <c r="E193" t="s">
        <v>18</v>
      </c>
      <c r="F193" t="s">
        <v>607</v>
      </c>
      <c r="G193" t="s">
        <v>30</v>
      </c>
      <c r="H193" t="s">
        <v>69</v>
      </c>
      <c r="I193" t="s">
        <v>70</v>
      </c>
      <c r="J193" t="s">
        <v>23</v>
      </c>
      <c r="K193">
        <v>920</v>
      </c>
      <c r="L193">
        <v>3</v>
      </c>
      <c r="M193" s="1">
        <v>0.05</v>
      </c>
      <c r="N193">
        <v>138</v>
      </c>
      <c r="O193" t="s">
        <v>24</v>
      </c>
    </row>
    <row r="194" spans="1:15" x14ac:dyDescent="0.35">
      <c r="A194" t="s">
        <v>608</v>
      </c>
      <c r="B194" s="2">
        <v>45854</v>
      </c>
      <c r="C194" t="s">
        <v>521</v>
      </c>
      <c r="D194" t="s">
        <v>66</v>
      </c>
      <c r="E194" t="s">
        <v>98</v>
      </c>
      <c r="F194" t="s">
        <v>609</v>
      </c>
      <c r="G194" t="s">
        <v>55</v>
      </c>
      <c r="H194" t="s">
        <v>56</v>
      </c>
      <c r="I194" t="s">
        <v>57</v>
      </c>
      <c r="J194" t="s">
        <v>23</v>
      </c>
      <c r="K194">
        <v>980</v>
      </c>
      <c r="L194">
        <v>3</v>
      </c>
      <c r="M194" s="1">
        <v>0.1</v>
      </c>
      <c r="N194">
        <v>118</v>
      </c>
      <c r="O194" t="s">
        <v>34</v>
      </c>
    </row>
    <row r="195" spans="1:15" x14ac:dyDescent="0.35">
      <c r="A195" t="s">
        <v>610</v>
      </c>
      <c r="B195" s="2">
        <v>45855</v>
      </c>
      <c r="C195" t="s">
        <v>524</v>
      </c>
      <c r="D195" t="s">
        <v>37</v>
      </c>
      <c r="E195" t="s">
        <v>102</v>
      </c>
      <c r="F195" t="s">
        <v>611</v>
      </c>
      <c r="G195" t="s">
        <v>20</v>
      </c>
      <c r="H195" t="s">
        <v>48</v>
      </c>
      <c r="I195" t="s">
        <v>116</v>
      </c>
      <c r="J195" t="s">
        <v>33</v>
      </c>
      <c r="K195">
        <v>490</v>
      </c>
      <c r="L195">
        <v>7</v>
      </c>
      <c r="M195" s="1">
        <v>0.05</v>
      </c>
      <c r="N195">
        <v>74</v>
      </c>
      <c r="O195" t="s">
        <v>42</v>
      </c>
    </row>
    <row r="196" spans="1:15" x14ac:dyDescent="0.35">
      <c r="A196" t="s">
        <v>612</v>
      </c>
      <c r="B196" s="2">
        <v>45856</v>
      </c>
      <c r="C196" t="s">
        <v>411</v>
      </c>
      <c r="D196" t="s">
        <v>45</v>
      </c>
      <c r="E196" t="s">
        <v>46</v>
      </c>
      <c r="F196" t="s">
        <v>613</v>
      </c>
      <c r="G196" t="s">
        <v>30</v>
      </c>
      <c r="H196" t="s">
        <v>40</v>
      </c>
      <c r="I196" t="s">
        <v>74</v>
      </c>
      <c r="J196" t="s">
        <v>23</v>
      </c>
      <c r="K196">
        <v>1080</v>
      </c>
      <c r="L196">
        <v>3</v>
      </c>
      <c r="M196" s="1">
        <v>0.1</v>
      </c>
      <c r="N196">
        <v>130</v>
      </c>
      <c r="O196" t="s">
        <v>24</v>
      </c>
    </row>
    <row r="197" spans="1:15" x14ac:dyDescent="0.35">
      <c r="A197" t="s">
        <v>614</v>
      </c>
      <c r="B197" s="2">
        <v>45857</v>
      </c>
      <c r="C197" t="s">
        <v>237</v>
      </c>
      <c r="D197" t="s">
        <v>27</v>
      </c>
      <c r="E197" t="s">
        <v>111</v>
      </c>
      <c r="F197" t="s">
        <v>615</v>
      </c>
      <c r="G197" t="s">
        <v>88</v>
      </c>
      <c r="H197" t="s">
        <v>89</v>
      </c>
      <c r="I197" t="s">
        <v>90</v>
      </c>
      <c r="J197" t="s">
        <v>23</v>
      </c>
      <c r="K197">
        <v>1150</v>
      </c>
      <c r="L197">
        <v>2</v>
      </c>
      <c r="M197" s="1">
        <v>0.05</v>
      </c>
      <c r="N197">
        <v>173</v>
      </c>
      <c r="O197" t="s">
        <v>34</v>
      </c>
    </row>
    <row r="198" spans="1:15" x14ac:dyDescent="0.35">
      <c r="A198" t="s">
        <v>616</v>
      </c>
      <c r="B198" s="2">
        <v>45858</v>
      </c>
      <c r="C198" t="s">
        <v>531</v>
      </c>
      <c r="D198" t="s">
        <v>17</v>
      </c>
      <c r="E198" t="s">
        <v>53</v>
      </c>
      <c r="F198" t="s">
        <v>617</v>
      </c>
      <c r="G198" t="s">
        <v>30</v>
      </c>
      <c r="H198" t="s">
        <v>40</v>
      </c>
      <c r="I198" t="s">
        <v>41</v>
      </c>
      <c r="J198" t="s">
        <v>33</v>
      </c>
      <c r="K198">
        <v>830</v>
      </c>
      <c r="L198">
        <v>4</v>
      </c>
      <c r="M198" s="1">
        <v>0.05</v>
      </c>
      <c r="N198">
        <v>125</v>
      </c>
      <c r="O198" t="s">
        <v>24</v>
      </c>
    </row>
    <row r="199" spans="1:15" x14ac:dyDescent="0.35">
      <c r="A199" t="s">
        <v>618</v>
      </c>
      <c r="B199" s="2">
        <v>45859</v>
      </c>
      <c r="C199" t="s">
        <v>420</v>
      </c>
      <c r="D199" t="s">
        <v>66</v>
      </c>
      <c r="E199" t="s">
        <v>119</v>
      </c>
      <c r="F199" t="s">
        <v>619</v>
      </c>
      <c r="G199" t="s">
        <v>55</v>
      </c>
      <c r="H199" t="s">
        <v>56</v>
      </c>
      <c r="I199" t="s">
        <v>79</v>
      </c>
      <c r="J199" t="s">
        <v>23</v>
      </c>
      <c r="K199">
        <v>1100</v>
      </c>
      <c r="L199">
        <v>3</v>
      </c>
      <c r="M199" s="1">
        <v>0.1</v>
      </c>
      <c r="N199">
        <v>132</v>
      </c>
      <c r="O199" t="s">
        <v>42</v>
      </c>
    </row>
    <row r="200" spans="1:15" x14ac:dyDescent="0.35">
      <c r="A200" t="s">
        <v>620</v>
      </c>
      <c r="B200" s="2">
        <v>45860</v>
      </c>
      <c r="C200" t="s">
        <v>536</v>
      </c>
      <c r="D200" t="s">
        <v>37</v>
      </c>
      <c r="E200" t="s">
        <v>123</v>
      </c>
      <c r="F200" t="s">
        <v>621</v>
      </c>
      <c r="G200" t="s">
        <v>30</v>
      </c>
      <c r="H200" t="s">
        <v>31</v>
      </c>
      <c r="I200" t="s">
        <v>32</v>
      </c>
      <c r="J200" t="s">
        <v>23</v>
      </c>
      <c r="K200">
        <v>890</v>
      </c>
      <c r="L200">
        <v>5</v>
      </c>
      <c r="M200" s="1">
        <v>0.05</v>
      </c>
      <c r="N200">
        <v>134</v>
      </c>
      <c r="O200" t="s">
        <v>34</v>
      </c>
    </row>
    <row r="201" spans="1:15" x14ac:dyDescent="0.35">
      <c r="A201" t="s">
        <v>622</v>
      </c>
      <c r="B201" s="2">
        <v>45861</v>
      </c>
      <c r="C201" t="s">
        <v>539</v>
      </c>
      <c r="D201" t="s">
        <v>45</v>
      </c>
      <c r="E201" t="s">
        <v>82</v>
      </c>
      <c r="F201" t="s">
        <v>623</v>
      </c>
      <c r="G201" t="s">
        <v>20</v>
      </c>
      <c r="H201" t="s">
        <v>21</v>
      </c>
      <c r="I201" t="s">
        <v>22</v>
      </c>
      <c r="J201" t="s">
        <v>50</v>
      </c>
      <c r="K201">
        <v>950</v>
      </c>
      <c r="L201">
        <v>3</v>
      </c>
      <c r="M201" s="1">
        <v>0.1</v>
      </c>
      <c r="N201">
        <v>114</v>
      </c>
      <c r="O201" t="s">
        <v>24</v>
      </c>
    </row>
  </sheetData>
  <conditionalFormatting sqref="A1:A201">
    <cfRule type="duplicateValues" dxfId="0" priority="1"/>
  </conditionalFormatting>
  <dataValidations count="6">
    <dataValidation type="list" allowBlank="1" showInputMessage="1" showErrorMessage="1" sqref="O1:P201" xr:uid="{530E7EFE-8D3A-47E1-8439-17B7A00830F7}">
      <formula1>"UPI,CARD,CASH"</formula1>
    </dataValidation>
    <dataValidation type="list" allowBlank="1" showInputMessage="1" showErrorMessage="1" sqref="J1:J201" xr:uid="{D85D7B32-DEE3-494E-9EAC-76F5C75EACE8}">
      <formula1>"Consumer,Corporate,Home Office"</formula1>
    </dataValidation>
    <dataValidation type="list" allowBlank="1" showInputMessage="1" showErrorMessage="1" sqref="G1:G200" xr:uid="{E14881B0-5C89-487E-ADEB-52C516828204}">
      <formula1>"North,South,West,Central"</formula1>
    </dataValidation>
    <dataValidation type="list" allowBlank="1" showInputMessage="1" showErrorMessage="1" sqref="D1:D201" xr:uid="{5F98F065-520D-4A95-8926-FEBEEE3E50BA}">
      <formula1>"Grocery,Beverages,Snacks,Household,Personal Care"</formula1>
    </dataValidation>
    <dataValidation type="whole" allowBlank="1" showInputMessage="1" showErrorMessage="1" error="plzzz ! validd " sqref="L1:L201" xr:uid="{3ECE5C2D-763C-4B36-8E78-C9AD51DF6DB7}">
      <formula1>1</formula1>
      <formula2>50</formula2>
    </dataValidation>
    <dataValidation type="decimal" allowBlank="1" showInputMessage="1" showErrorMessage="1" error="enter valid." sqref="M1:M201" xr:uid="{C6E2D603-5FCF-449E-8207-865C2159BD7F}">
      <formula1>0</formula1>
      <formula2>0.5</formula2>
    </dataValidation>
  </dataValidation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total sales</vt:lpstr>
      <vt:lpstr>profit</vt:lpstr>
      <vt:lpstr>total orders</vt:lpstr>
      <vt:lpstr>total quantity</vt:lpstr>
      <vt:lpstr>category</vt:lpstr>
      <vt:lpstr>region</vt:lpstr>
      <vt:lpstr>monthly sales</vt:lpstr>
      <vt:lpstr>segment</vt:lpstr>
      <vt:lpstr>category wise profit</vt:lpstr>
      <vt:lpstr>top 10 product</vt:lpstr>
      <vt:lpstr>payment mode</vt:lpstr>
      <vt:lpstr>dashboard</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2026-10-04T06:46:58Z</dcterms:created>
  <dcterms:modified xsi:type="dcterms:W3CDTF">2026-10-28T09:07:27Z</dcterms:modified>
</cp:coreProperties>
</file>